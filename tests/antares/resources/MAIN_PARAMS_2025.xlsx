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rtefrance.sharepoint.com/sites/EspaceAntares/Shared Documents/Pégase/PEMMDB/"/>
    </mc:Choice>
  </mc:AlternateContent>
  <xr:revisionPtr revIDLastSave="0" documentId="8_{75C65FC5-A35F-4564-82BB-4F081A06C856}" xr6:coauthVersionLast="47" xr6:coauthVersionMax="47" xr10:uidLastSave="{00000000-0000-0000-0000-000000000000}"/>
  <bookViews>
    <workbookView xWindow="14170" yWindow="-16310" windowWidth="29020" windowHeight="15700" tabRatio="848" firstSheet="4" activeTab="3" xr2:uid="{00000000-000D-0000-FFFF-FFFF00000000}"/>
  </bookViews>
  <sheets>
    <sheet name="PAYS" sheetId="2" r:id="rId1"/>
    <sheet name="STUDY_SCENARIO" sheetId="3" r:id="rId2"/>
    <sheet name="LINKS" sheetId="4" r:id="rId3"/>
    <sheet name="CLUSTER" sheetId="5" r:id="rId4"/>
    <sheet name="Common Data" sheetId="9" r:id="rId5"/>
    <sheet name="PEAK_PARAMS" sheetId="12" r:id="rId6"/>
  </sheets>
  <definedNames>
    <definedName name="_xlnm._FilterDatabase" localSheetId="3" hidden="1">CLUSTER!$A$1:$D$89</definedName>
    <definedName name="_xlnm._FilterDatabase" localSheetId="0" hidden="1">PAYS!$A$1:$E$107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</calcChain>
</file>

<file path=xl/sharedStrings.xml><?xml version="1.0" encoding="utf-8"?>
<sst xmlns="http://schemas.openxmlformats.org/spreadsheetml/2006/main" count="1233" uniqueCount="467">
  <si>
    <t>Nom_pays</t>
  </si>
  <si>
    <t>code_pays</t>
  </si>
  <si>
    <t>areas</t>
  </si>
  <si>
    <t>market_node</t>
  </si>
  <si>
    <t>code_antares</t>
  </si>
  <si>
    <t>Albanie</t>
  </si>
  <si>
    <t>AL</t>
  </si>
  <si>
    <t>AL00</t>
  </si>
  <si>
    <t>Autriche</t>
  </si>
  <si>
    <t>AT</t>
  </si>
  <si>
    <t>AT00</t>
  </si>
  <si>
    <t>Bosnie</t>
  </si>
  <si>
    <t>BA</t>
  </si>
  <si>
    <t>BA00</t>
  </si>
  <si>
    <t>Belgique</t>
  </si>
  <si>
    <t>BE</t>
  </si>
  <si>
    <t>BE00</t>
  </si>
  <si>
    <t>BEO1_OFF</t>
  </si>
  <si>
    <t>BEo1</t>
  </si>
  <si>
    <t>BEO2_OFF</t>
  </si>
  <si>
    <t>Bulgarie</t>
  </si>
  <si>
    <t>BG</t>
  </si>
  <si>
    <t>BG00</t>
  </si>
  <si>
    <t>Suisse</t>
  </si>
  <si>
    <t>CH</t>
  </si>
  <si>
    <t>CH00</t>
  </si>
  <si>
    <t>Chypre</t>
  </si>
  <si>
    <t>CY</t>
  </si>
  <si>
    <t>CY00</t>
  </si>
  <si>
    <t>République tchèque</t>
  </si>
  <si>
    <t>CZ</t>
  </si>
  <si>
    <t>CZ00</t>
  </si>
  <si>
    <t>Allemagne</t>
  </si>
  <si>
    <t>DE</t>
  </si>
  <si>
    <t>DE00</t>
  </si>
  <si>
    <t>DEKF_OFF</t>
  </si>
  <si>
    <t>DEkf</t>
  </si>
  <si>
    <t>Danemark</t>
  </si>
  <si>
    <t>DK</t>
  </si>
  <si>
    <t>DKB2_OFF</t>
  </si>
  <si>
    <t>DKbh</t>
  </si>
  <si>
    <t>DKBH_OFF</t>
  </si>
  <si>
    <t>Danemark est</t>
  </si>
  <si>
    <t>DKE1</t>
  </si>
  <si>
    <t>DKe</t>
  </si>
  <si>
    <t>DKHE_OFF</t>
  </si>
  <si>
    <t>DKK2_OFF</t>
  </si>
  <si>
    <t>DKKA_OFF</t>
  </si>
  <si>
    <t>DKw</t>
  </si>
  <si>
    <t>DKKF_OFF</t>
  </si>
  <si>
    <t>DKkf</t>
  </si>
  <si>
    <t>DKN1_OFF</t>
  </si>
  <si>
    <t>DKN2_OFF</t>
  </si>
  <si>
    <t>DKN3_OFF</t>
  </si>
  <si>
    <t>DKN4_OFF</t>
  </si>
  <si>
    <t>DKN5_OFF</t>
  </si>
  <si>
    <t>DKN6_OFF</t>
  </si>
  <si>
    <t>DKN7_OFF</t>
  </si>
  <si>
    <t>DKN8_OFF</t>
  </si>
  <si>
    <t>DKN9_OFF</t>
  </si>
  <si>
    <t>DKNS_OFF</t>
  </si>
  <si>
    <t>DKns</t>
  </si>
  <si>
    <t>Danemark ouest</t>
  </si>
  <si>
    <t>DKW1</t>
  </si>
  <si>
    <t>Estonie</t>
  </si>
  <si>
    <t>EE</t>
  </si>
  <si>
    <t>EE00</t>
  </si>
  <si>
    <t>Espagne</t>
  </si>
  <si>
    <t>ES</t>
  </si>
  <si>
    <t>ES00</t>
  </si>
  <si>
    <t>Finlande</t>
  </si>
  <si>
    <t>FI</t>
  </si>
  <si>
    <t>FI00</t>
  </si>
  <si>
    <t>France</t>
  </si>
  <si>
    <t>FR</t>
  </si>
  <si>
    <t>FR00</t>
  </si>
  <si>
    <t>Corse</t>
  </si>
  <si>
    <t>FR15</t>
  </si>
  <si>
    <t>Grèce</t>
  </si>
  <si>
    <t>GR</t>
  </si>
  <si>
    <t>GR00</t>
  </si>
  <si>
    <t>Crète</t>
  </si>
  <si>
    <t>GR03</t>
  </si>
  <si>
    <t>Croatie</t>
  </si>
  <si>
    <t>HR</t>
  </si>
  <si>
    <t>HR00</t>
  </si>
  <si>
    <t>Hongrie</t>
  </si>
  <si>
    <t>HU</t>
  </si>
  <si>
    <t>HU00</t>
  </si>
  <si>
    <t>Irlande</t>
  </si>
  <si>
    <t>IE</t>
  </si>
  <si>
    <t>IE00</t>
  </si>
  <si>
    <t>Italie</t>
  </si>
  <si>
    <t>IT</t>
  </si>
  <si>
    <t>Italie calabre</t>
  </si>
  <si>
    <t>ITCA</t>
  </si>
  <si>
    <t>ITca</t>
  </si>
  <si>
    <t>Italie centre-nord</t>
  </si>
  <si>
    <t>ITCN</t>
  </si>
  <si>
    <t>ITcn</t>
  </si>
  <si>
    <t>Italie centre-sud</t>
  </si>
  <si>
    <t>ITCS</t>
  </si>
  <si>
    <t>ITcs</t>
  </si>
  <si>
    <t>Italie du nord</t>
  </si>
  <si>
    <t>ITN1</t>
  </si>
  <si>
    <t>ITn</t>
  </si>
  <si>
    <t>Italie du sud</t>
  </si>
  <si>
    <t>ITS1</t>
  </si>
  <si>
    <t>ITs</t>
  </si>
  <si>
    <t>Italie Sardaigne</t>
  </si>
  <si>
    <t>ITSA</t>
  </si>
  <si>
    <t>ITsar</t>
  </si>
  <si>
    <t>Italie Sicile</t>
  </si>
  <si>
    <t>ITSI</t>
  </si>
  <si>
    <t>ITsic</t>
  </si>
  <si>
    <t>Lituanie</t>
  </si>
  <si>
    <t>LT</t>
  </si>
  <si>
    <t>Luxembourg</t>
  </si>
  <si>
    <t>LU</t>
  </si>
  <si>
    <t>LUB1</t>
  </si>
  <si>
    <t>LUF1</t>
  </si>
  <si>
    <t>LUG1</t>
  </si>
  <si>
    <t>LUV1</t>
  </si>
  <si>
    <t>Lettonie</t>
  </si>
  <si>
    <t>LV</t>
  </si>
  <si>
    <t>LV00</t>
  </si>
  <si>
    <t>Moldavie</t>
  </si>
  <si>
    <t>MD</t>
  </si>
  <si>
    <t>MD00</t>
  </si>
  <si>
    <t>Montenegro</t>
  </si>
  <si>
    <t>ME</t>
  </si>
  <si>
    <t>ME00</t>
  </si>
  <si>
    <t>Macédoine</t>
  </si>
  <si>
    <t>MK</t>
  </si>
  <si>
    <t>Macédoine du Nord</t>
  </si>
  <si>
    <t>MK00</t>
  </si>
  <si>
    <t>Malte</t>
  </si>
  <si>
    <t>MT</t>
  </si>
  <si>
    <t>MT00</t>
  </si>
  <si>
    <t>Pays-Bas</t>
  </si>
  <si>
    <t>NL</t>
  </si>
  <si>
    <t>NL00</t>
  </si>
  <si>
    <t>NL0A_OFF</t>
  </si>
  <si>
    <t>NL0B_OFF</t>
  </si>
  <si>
    <t>NL0C_OFF</t>
  </si>
  <si>
    <t>NL0D_OFF</t>
  </si>
  <si>
    <t>NL0E_OFF</t>
  </si>
  <si>
    <t>NL0F_OFF</t>
  </si>
  <si>
    <t>NL0G_OFF</t>
  </si>
  <si>
    <t>NL0J_OFF</t>
  </si>
  <si>
    <t>NL0K_OFF</t>
  </si>
  <si>
    <t>NL0L_OFF</t>
  </si>
  <si>
    <t>NL0M_OFF</t>
  </si>
  <si>
    <t>NL0N_OFF</t>
  </si>
  <si>
    <t>NL0P_OFF</t>
  </si>
  <si>
    <t>NL0Q_OFF</t>
  </si>
  <si>
    <t>NL0R_OFF</t>
  </si>
  <si>
    <t>NL0S_OFF</t>
  </si>
  <si>
    <t>NL0T_OFF</t>
  </si>
  <si>
    <t>NL0U_OFF</t>
  </si>
  <si>
    <t>NL0V_OFF</t>
  </si>
  <si>
    <t>NL0W_OFF</t>
  </si>
  <si>
    <t>NL0X_OFF</t>
  </si>
  <si>
    <t>NL0Y_OFF</t>
  </si>
  <si>
    <t>NLLL_OFF</t>
  </si>
  <si>
    <t>NLll</t>
  </si>
  <si>
    <t>Norvège</t>
  </si>
  <si>
    <t>NO</t>
  </si>
  <si>
    <t>Norvège médian</t>
  </si>
  <si>
    <t>NOm</t>
  </si>
  <si>
    <t>Norvège nord</t>
  </si>
  <si>
    <t>NOn</t>
  </si>
  <si>
    <t>Norvège sud</t>
  </si>
  <si>
    <t>NOs1</t>
  </si>
  <si>
    <t>NOs</t>
  </si>
  <si>
    <t>NOs2</t>
  </si>
  <si>
    <t>NOs3</t>
  </si>
  <si>
    <t>NOsF_OFF</t>
  </si>
  <si>
    <t>NOWB_OFF</t>
  </si>
  <si>
    <t>NOWF_OFF</t>
  </si>
  <si>
    <t>Pologne</t>
  </si>
  <si>
    <t>PL</t>
  </si>
  <si>
    <t>PL00</t>
  </si>
  <si>
    <t>Portugal</t>
  </si>
  <si>
    <t>PT</t>
  </si>
  <si>
    <t>PT00</t>
  </si>
  <si>
    <t>Roumanie</t>
  </si>
  <si>
    <t>RO</t>
  </si>
  <si>
    <t>RO00</t>
  </si>
  <si>
    <t>Serbie</t>
  </si>
  <si>
    <t>RS</t>
  </si>
  <si>
    <t>RS00</t>
  </si>
  <si>
    <t>Suède</t>
  </si>
  <si>
    <t>SE</t>
  </si>
  <si>
    <t>Suède 1</t>
  </si>
  <si>
    <t>SE01</t>
  </si>
  <si>
    <t>SE1</t>
  </si>
  <si>
    <t>Suède 2</t>
  </si>
  <si>
    <t>SE02</t>
  </si>
  <si>
    <t>SE2</t>
  </si>
  <si>
    <t>Suède 3</t>
  </si>
  <si>
    <t>SE03</t>
  </si>
  <si>
    <t>SE3</t>
  </si>
  <si>
    <t>Suède 4</t>
  </si>
  <si>
    <t>SE04</t>
  </si>
  <si>
    <t>SE4</t>
  </si>
  <si>
    <t>Slovénie</t>
  </si>
  <si>
    <t>SI</t>
  </si>
  <si>
    <t>SI00</t>
  </si>
  <si>
    <t>Slovaquie</t>
  </si>
  <si>
    <t>SK</t>
  </si>
  <si>
    <t>SK00</t>
  </si>
  <si>
    <t>Turquie</t>
  </si>
  <si>
    <t>TR</t>
  </si>
  <si>
    <t>TR00</t>
  </si>
  <si>
    <t>Ukraine</t>
  </si>
  <si>
    <t>UA</t>
  </si>
  <si>
    <t>UA00</t>
  </si>
  <si>
    <t>Royaume-Uni</t>
  </si>
  <si>
    <t>GB</t>
  </si>
  <si>
    <t>Grande-Bretagne</t>
  </si>
  <si>
    <t>UK00</t>
  </si>
  <si>
    <t>UKgb</t>
  </si>
  <si>
    <t>NI</t>
  </si>
  <si>
    <t>Irlande du nord</t>
  </si>
  <si>
    <t>UKNI</t>
  </si>
  <si>
    <t>UKni</t>
  </si>
  <si>
    <t>YEAR</t>
  </si>
  <si>
    <t>STUDY_SCENARIO</t>
  </si>
  <si>
    <t>ERAA</t>
  </si>
  <si>
    <t>TYNDP</t>
  </si>
  <si>
    <t>LT00</t>
  </si>
  <si>
    <t>NOM1</t>
  </si>
  <si>
    <t>NON1</t>
  </si>
  <si>
    <t>NOS1</t>
  </si>
  <si>
    <t>NOS2</t>
  </si>
  <si>
    <t>NOS3</t>
  </si>
  <si>
    <t>PLE0</t>
  </si>
  <si>
    <t>PLI0</t>
  </si>
  <si>
    <t>TYPE</t>
  </si>
  <si>
    <t>CLUSTER_PEMMDB</t>
  </si>
  <si>
    <t>CLUSTER_BP</t>
  </si>
  <si>
    <t>Technology thermal</t>
  </si>
  <si>
    <t>Thermal</t>
  </si>
  <si>
    <t>Gas/CCGT CCS</t>
  </si>
  <si>
    <t>CCGT CCS</t>
  </si>
  <si>
    <t>CCGT</t>
  </si>
  <si>
    <t>OtherNon-RES/Gas/CCGT CCS</t>
  </si>
  <si>
    <t>Gas/CCGT CCS/CHP</t>
  </si>
  <si>
    <t>CCGT CCS CHP</t>
  </si>
  <si>
    <t>CHP</t>
  </si>
  <si>
    <t>OtherNon-RES/Gas/CCGT CCS/CHP</t>
  </si>
  <si>
    <t>Hydrogen/CCGT</t>
  </si>
  <si>
    <t>CCGT H2</t>
  </si>
  <si>
    <t>Hydrogen/CCGT/CHP</t>
  </si>
  <si>
    <t>CCGT H2 CHP</t>
  </si>
  <si>
    <t>OtherNon-RES/Hydrogen/CCGT/CHP</t>
  </si>
  <si>
    <t>Gas/CCGT new</t>
  </si>
  <si>
    <t>CCGT new</t>
  </si>
  <si>
    <t>OtherNon-RES/Gas/CCGT new</t>
  </si>
  <si>
    <t>Gas/CCGT new/CHP</t>
  </si>
  <si>
    <t>CCGT new CHP</t>
  </si>
  <si>
    <t>Gas/CCGT old 1</t>
  </si>
  <si>
    <t>CCGT old 1</t>
  </si>
  <si>
    <t>OtherNon-RES/Gas/CCGT old 1</t>
  </si>
  <si>
    <t>Gas/CCGT old 1/CHP</t>
  </si>
  <si>
    <t>CCGT old 1 CHP</t>
  </si>
  <si>
    <t>OtherNon-RES/Gas/CCGT old 1/CHP</t>
  </si>
  <si>
    <t>Gas/CCGT old 2</t>
  </si>
  <si>
    <t>CCGT old 2</t>
  </si>
  <si>
    <t>OtherNon-RES/Gas/CCGT old 2</t>
  </si>
  <si>
    <t>Gas/CCGT old 2/CHP</t>
  </si>
  <si>
    <t>CCGT old 2 CHP</t>
  </si>
  <si>
    <t>OtherNon-RES/Gas/CCGT old 2/CHP</t>
  </si>
  <si>
    <t>Gas/CCGT present 1</t>
  </si>
  <si>
    <t>CCGT present 1</t>
  </si>
  <si>
    <t>Gas/CCGT present 1/CHP</t>
  </si>
  <si>
    <t>CCGT present 1 CHP</t>
  </si>
  <si>
    <t>Gas/CCGT present 2</t>
  </si>
  <si>
    <t>CCGT present 2</t>
  </si>
  <si>
    <t>OtherNon-RES/Gas/CCGT present 2</t>
  </si>
  <si>
    <t>Gas/CCGT present 2/CHP</t>
  </si>
  <si>
    <t>CCGT present 2 CHP</t>
  </si>
  <si>
    <t>Fuel cell</t>
  </si>
  <si>
    <t>Hydrogen</t>
  </si>
  <si>
    <t>Gas/conventional old 1</t>
  </si>
  <si>
    <t>Gas conventional old 1</t>
  </si>
  <si>
    <t>Gas conventional</t>
  </si>
  <si>
    <t>OtherNon-RES/Gas/conventional old 1</t>
  </si>
  <si>
    <t>Gas/conventional old 1/CHP</t>
  </si>
  <si>
    <t>Gas conventional old 1 CHP</t>
  </si>
  <si>
    <t>OtherNon-RES/Gas/conventional old 1/CHP</t>
  </si>
  <si>
    <t>Gas/conventional old 2</t>
  </si>
  <si>
    <t>Gas conventional old 2</t>
  </si>
  <si>
    <t>OtherNon-RES/Gas/conventional old 2</t>
  </si>
  <si>
    <t>Gas/conventional old 2/CHP</t>
  </si>
  <si>
    <t>Gas conventional old 2 CHP</t>
  </si>
  <si>
    <t>OtherNon-RES/Gas/conventional old 2/CHP</t>
  </si>
  <si>
    <t>Hard coal/new</t>
  </si>
  <si>
    <t>Hard coal new</t>
  </si>
  <si>
    <t>Coal and lignite</t>
  </si>
  <si>
    <t>Hard coal/new/CHP</t>
  </si>
  <si>
    <t>Hard coal new CHP</t>
  </si>
  <si>
    <t>Hard coal/old 1</t>
  </si>
  <si>
    <t>Hard coal old 1</t>
  </si>
  <si>
    <t>OtherNon-RES/Hard coal/old 1</t>
  </si>
  <si>
    <t>Hard coal/old 1/CHP</t>
  </si>
  <si>
    <t>Hard coal old 1 CHP</t>
  </si>
  <si>
    <t>Hard coal/old 2</t>
  </si>
  <si>
    <t>Hard coal old 2</t>
  </si>
  <si>
    <t>Hard coal/old 2/CHP</t>
  </si>
  <si>
    <t>Hard coal old 2 CHP</t>
  </si>
  <si>
    <t>Heavy oil/old 1</t>
  </si>
  <si>
    <t>Heavy oil old 1</t>
  </si>
  <si>
    <t>Heavy oil</t>
  </si>
  <si>
    <t>Heavy oil/old 1/CHP</t>
  </si>
  <si>
    <t>Heavy oil old 1 CHP</t>
  </si>
  <si>
    <t>Heavy oil/old 2</t>
  </si>
  <si>
    <t>Heavy oil old 2</t>
  </si>
  <si>
    <t>Heavy oil/old 2/CHP</t>
  </si>
  <si>
    <t>Heavy oil old 2 CHP</t>
  </si>
  <si>
    <t>Light oil/-</t>
  </si>
  <si>
    <t>Light oil</t>
  </si>
  <si>
    <t>OCGT</t>
  </si>
  <si>
    <t>Light oil/-/CHP</t>
  </si>
  <si>
    <t>Light oil CHP</t>
  </si>
  <si>
    <t>OtherNon-RES/Light oil/-/CHP</t>
  </si>
  <si>
    <t>Lignite/new</t>
  </si>
  <si>
    <t>Lignite new</t>
  </si>
  <si>
    <t>OtherNon-RES/Lignite/new</t>
  </si>
  <si>
    <t>Lignite/new/CHP</t>
  </si>
  <si>
    <t>Lignite new CHP</t>
  </si>
  <si>
    <t>Lignite/old 1</t>
  </si>
  <si>
    <t>Lignite old 1</t>
  </si>
  <si>
    <t>Lignite/old 1/CHP</t>
  </si>
  <si>
    <t>Lignite old 1 CHP</t>
  </si>
  <si>
    <t>OtherNon-RES/Lignite/old 1/CHP</t>
  </si>
  <si>
    <t>Lignite/old 2</t>
  </si>
  <si>
    <t>Lignite old 2</t>
  </si>
  <si>
    <t>Lignite/old 2/CHP</t>
  </si>
  <si>
    <t>Lignite old 2 CHP</t>
  </si>
  <si>
    <t>Nuclear/-</t>
  </si>
  <si>
    <t>Nuclear</t>
  </si>
  <si>
    <t>Nuclear/SMR</t>
  </si>
  <si>
    <t>Nuclear SMR</t>
  </si>
  <si>
    <t>Hydrogen/OCGT</t>
  </si>
  <si>
    <t>OCGT H2</t>
  </si>
  <si>
    <t>Hydrogen/OCGT/CHP</t>
  </si>
  <si>
    <t>OCGT H2 CHP</t>
  </si>
  <si>
    <t>OtherNon-RES/Hydrogen/OCGT/CHP</t>
  </si>
  <si>
    <t>Gas/OCGT new</t>
  </si>
  <si>
    <t>OCGT new</t>
  </si>
  <si>
    <t>OtherNon-RES/Gas/OCGT new</t>
  </si>
  <si>
    <t>Gas/OCGT new/CHP</t>
  </si>
  <si>
    <t>OCGT new CHP</t>
  </si>
  <si>
    <t>Gas/OCGT old</t>
  </si>
  <si>
    <t>OCGT old</t>
  </si>
  <si>
    <t>OtherNon-RES/Gas/OCGT old</t>
  </si>
  <si>
    <t>Gas/OCGT old/CHP</t>
  </si>
  <si>
    <t>OCGT old CHP</t>
  </si>
  <si>
    <t>OtherNon-RES/Gas/OCGT old/CHP</t>
  </si>
  <si>
    <t>Shale oil/new</t>
  </si>
  <si>
    <t>Oil shale new</t>
  </si>
  <si>
    <t>?</t>
  </si>
  <si>
    <t>OtherNon-RES/Shale oil/old</t>
  </si>
  <si>
    <t>Oil shale old</t>
  </si>
  <si>
    <t>Other</t>
  </si>
  <si>
    <t>Shale oil/old</t>
  </si>
  <si>
    <t>RES</t>
  </si>
  <si>
    <t>Wind onshore</t>
  </si>
  <si>
    <t>wind_onshore</t>
  </si>
  <si>
    <t>Wind offshore fixed</t>
  </si>
  <si>
    <t>wind_offshore</t>
  </si>
  <si>
    <t>Wind offshore floating</t>
  </si>
  <si>
    <t>Solar thermal without storage</t>
  </si>
  <si>
    <t>solar_thermo</t>
  </si>
  <si>
    <t>Solar thermal with storage</t>
  </si>
  <si>
    <t>Solar PV utility non-tracking</t>
  </si>
  <si>
    <t>solar_pv</t>
  </si>
  <si>
    <t>Solar PV utility tracking</t>
  </si>
  <si>
    <t>Solar PV rooftop residential</t>
  </si>
  <si>
    <t>Solar PV rooftop industrial</t>
  </si>
  <si>
    <t>misc</t>
  </si>
  <si>
    <t>Marine</t>
  </si>
  <si>
    <t>wave</t>
  </si>
  <si>
    <t>Waste</t>
  </si>
  <si>
    <t>waste</t>
  </si>
  <si>
    <t>Small biomass</t>
  </si>
  <si>
    <t>biomass</t>
  </si>
  <si>
    <t>Geothermal</t>
  </si>
  <si>
    <t>geothermal</t>
  </si>
  <si>
    <t>Not defined or splitting not known RES</t>
  </si>
  <si>
    <t>other</t>
  </si>
  <si>
    <t>hydro</t>
  </si>
  <si>
    <t>Run of river</t>
  </si>
  <si>
    <t>Run of River</t>
  </si>
  <si>
    <t>Pondage</t>
  </si>
  <si>
    <t>Reservoir</t>
  </si>
  <si>
    <t>Closed loop pumping</t>
  </si>
  <si>
    <t>PS Closed</t>
  </si>
  <si>
    <t>Open loop pumping</t>
  </si>
  <si>
    <t>PS Open</t>
  </si>
  <si>
    <t>cluster_BP</t>
  </si>
  <si>
    <t>Category</t>
  </si>
  <si>
    <t>Fuel</t>
  </si>
  <si>
    <t>Type</t>
  </si>
  <si>
    <t>efficiency_range</t>
  </si>
  <si>
    <t>efficiency_default</t>
  </si>
  <si>
    <t>CO2</t>
  </si>
  <si>
    <t>OM_cost</t>
  </si>
  <si>
    <t>min_up_time</t>
  </si>
  <si>
    <t>min_down_time</t>
  </si>
  <si>
    <t>start_up_fuel</t>
  </si>
  <si>
    <t>start_up_fix_cost</t>
  </si>
  <si>
    <t>start_up_fuel_cold_start</t>
  </si>
  <si>
    <t>start_up_fix_cost_cold_start</t>
  </si>
  <si>
    <t>start_up_fuel_hot_start</t>
  </si>
  <si>
    <t>start_up_fix_cost_hot_start</t>
  </si>
  <si>
    <t>transition_hot_warm</t>
  </si>
  <si>
    <t>transition_hot_cold</t>
  </si>
  <si>
    <t>shutdown_time</t>
  </si>
  <si>
    <t>startup_time</t>
  </si>
  <si>
    <t>FO_rate_default</t>
  </si>
  <si>
    <t>FO_duration_default</t>
  </si>
  <si>
    <t>PO_duration_default</t>
  </si>
  <si>
    <t>PO_winter_default</t>
  </si>
  <si>
    <t>min_stable_generation_default</t>
  </si>
  <si>
    <t>ramp_up</t>
  </si>
  <si>
    <t>ramp_down</t>
  </si>
  <si>
    <t>fixed_generation_reduction</t>
  </si>
  <si>
    <t>-</t>
  </si>
  <si>
    <t>30% - 35%</t>
  </si>
  <si>
    <t>SMR</t>
  </si>
  <si>
    <t>Hard coal</t>
  </si>
  <si>
    <t>old 1</t>
  </si>
  <si>
    <t>30% - 37%</t>
  </si>
  <si>
    <t>old 2</t>
  </si>
  <si>
    <t>38% - 43%</t>
  </si>
  <si>
    <t>new</t>
  </si>
  <si>
    <t>44% - 46%</t>
  </si>
  <si>
    <t>Lignite</t>
  </si>
  <si>
    <t>Gas</t>
  </si>
  <si>
    <t>conventional old 1</t>
  </si>
  <si>
    <t>25% - 38%</t>
  </si>
  <si>
    <t>conventional old 2</t>
  </si>
  <si>
    <t>39% - 42%</t>
  </si>
  <si>
    <t>33% - 44%</t>
  </si>
  <si>
    <t>45% - 52%</t>
  </si>
  <si>
    <t>53% - 60%</t>
  </si>
  <si>
    <t>43% - 52%</t>
  </si>
  <si>
    <t>35% - 38%</t>
  </si>
  <si>
    <t>39% - 44%</t>
  </si>
  <si>
    <t>Oil</t>
  </si>
  <si>
    <t>32% - 38%</t>
  </si>
  <si>
    <t>25% - 37%</t>
  </si>
  <si>
    <t>old</t>
  </si>
  <si>
    <t>28% - 33%</t>
  </si>
  <si>
    <t>34% - 39%</t>
  </si>
  <si>
    <t>H2</t>
  </si>
  <si>
    <t>hour</t>
  </si>
  <si>
    <t>period_hour</t>
  </si>
  <si>
    <t>month</t>
  </si>
  <si>
    <t>period_month</t>
  </si>
  <si>
    <t>HC</t>
  </si>
  <si>
    <t>winter</t>
  </si>
  <si>
    <t>summer</t>
  </si>
  <si>
    <t>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</si>
</sst>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€-2]* #,##0.00_-;\-[$€-2]* #,##0.00_-;_-[$€-2]* \-??_-"/>
  </numFmts>
  <fonts count="4">
    <font>
      <sz val="11"/>
      <color rgb="FF000000"/>
      <name val="Calibri"/>
      <family val="2"/>
      <charset val="1"/>
    </font>
    <font>
      <sz val="10"/>
      <name val="Arial"/>
      <family val="2"/>
      <charset val="238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4">
    <xf numFmtId="0" fontId="0" fillId="0" borderId="0"/>
    <xf numFmtId="0" fontId="3" fillId="0" borderId="0"/>
    <xf numFmtId="164" fontId="3" fillId="0" borderId="0"/>
    <xf numFmtId="1" fontId="1" fillId="0" borderId="1" applyProtection="0">
      <alignment horizontal="right" vertical="top" wrapText="1"/>
    </xf>
  </cellStyleXfs>
  <cellXfs count="11">
    <xf numFmtId="0" fontId="0" fillId="0" borderId="0" xfId="0"/>
    <xf numFmtId="0" fontId="2" fillId="0" borderId="0" xfId="0" applyFont="1"/>
    <xf numFmtId="0" fontId="0" fillId="0" borderId="2" xfId="0" applyBorder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2" fillId="0" borderId="3" xfId="0" applyFont="1" applyBorder="1"/>
    <xf numFmtId="0" fontId="0" fillId="0" borderId="3" xfId="0" applyBorder="1" applyAlignment="1">
      <alignment horizontal="center"/>
    </xf>
    <xf numFmtId="0" fontId="0" fillId="2" borderId="0" xfId="0" applyFill="1" applyAlignment="1">
      <alignment wrapText="1"/>
    </xf>
    <xf numFmtId="0" fontId="0" fillId="3" borderId="0" xfId="0" applyFill="1" applyAlignment="1">
      <alignment wrapText="1"/>
    </xf>
    <xf numFmtId="0" fontId="0" fillId="4" borderId="0" xfId="0" applyFill="1"/>
  </cellXfs>
  <cellStyles count="4">
    <cellStyle name="Normal" xfId="0" builtinId="0"/>
    <cellStyle name="Normal 2" xfId="1" xr:uid="{00000000-0005-0000-0000-000006000000}"/>
    <cellStyle name="Standard_Data provided by OT3" xfId="2" xr:uid="{00000000-0005-0000-0000-000007000000}"/>
    <cellStyle name="Style 45" xfId="3" xr:uid="{00000000-0005-0000-0000-000008000000}"/>
  </cellStyles>
  <dxfs count="0"/>
  <tableStyles count="0" defaultTableStyle="TableStyleMedium2" defaultPivotStyle="PivotStyleLight16"/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5</xdr:row>
      <xdr:rowOff>0</xdr:rowOff>
    </xdr:from>
    <xdr:to>
      <xdr:col>16</xdr:col>
      <xdr:colOff>109440</xdr:colOff>
      <xdr:row>10</xdr:row>
      <xdr:rowOff>127440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7523640" y="952560"/>
          <a:ext cx="7632720" cy="108000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8600</xdr:colOff>
      <xdr:row>2</xdr:row>
      <xdr:rowOff>40662</xdr:rowOff>
    </xdr:from>
    <xdr:to>
      <xdr:col>14</xdr:col>
      <xdr:colOff>541227</xdr:colOff>
      <xdr:row>7</xdr:row>
      <xdr:rowOff>168102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9922538" y="405787"/>
          <a:ext cx="6438127" cy="1040253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fr-FR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fr-FR" sz="1100" b="1" strike="noStrike" spc="-1">
              <a:solidFill>
                <a:srgbClr val="000000"/>
              </a:solidFill>
              <a:latin typeface="Calibri"/>
            </a:rPr>
            <a:t>Cette table est évolutive</a:t>
          </a:r>
          <a:endParaRPr lang="fr-FR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7"/>
  <sheetViews>
    <sheetView zoomScale="80" zoomScaleNormal="80" workbookViewId="0">
      <pane ySplit="1" topLeftCell="D92" activePane="bottomLeft" state="frozen"/>
      <selection pane="bottomLeft" activeCell="D92" sqref="D92"/>
    </sheetView>
  </sheetViews>
  <sheetFormatPr defaultColWidth="10.5703125" defaultRowHeight="14.45"/>
  <cols>
    <col min="1" max="1" width="22" style="2" customWidth="1"/>
    <col min="3" max="3" width="34.42578125" customWidth="1"/>
    <col min="4" max="4" width="17" customWidth="1"/>
    <col min="5" max="5" width="14.42578125" customWidth="1"/>
  </cols>
  <sheetData>
    <row r="1" spans="1: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>
      <c r="A2" s="4" t="s">
        <v>5</v>
      </c>
      <c r="B2" s="4" t="s">
        <v>6</v>
      </c>
      <c r="C2" s="4" t="s">
        <v>5</v>
      </c>
      <c r="D2" s="4" t="s">
        <v>7</v>
      </c>
      <c r="E2" s="4" t="s">
        <v>6</v>
      </c>
    </row>
    <row r="3" spans="1:5">
      <c r="A3" s="4" t="s">
        <v>8</v>
      </c>
      <c r="B3" s="4" t="s">
        <v>9</v>
      </c>
      <c r="C3" s="4" t="s">
        <v>8</v>
      </c>
      <c r="D3" s="4" t="s">
        <v>10</v>
      </c>
      <c r="E3" s="4" t="s">
        <v>9</v>
      </c>
    </row>
    <row r="4" spans="1:5">
      <c r="A4" s="4" t="s">
        <v>11</v>
      </c>
      <c r="B4" s="4" t="s">
        <v>12</v>
      </c>
      <c r="C4" s="4" t="s">
        <v>11</v>
      </c>
      <c r="D4" s="4" t="s">
        <v>13</v>
      </c>
      <c r="E4" s="4" t="s">
        <v>12</v>
      </c>
    </row>
    <row r="5" spans="1:5">
      <c r="A5" s="4" t="s">
        <v>14</v>
      </c>
      <c r="B5" s="4" t="s">
        <v>15</v>
      </c>
      <c r="C5" s="4" t="s">
        <v>14</v>
      </c>
      <c r="D5" s="4" t="s">
        <v>16</v>
      </c>
      <c r="E5" s="4" t="s">
        <v>15</v>
      </c>
    </row>
    <row r="6" spans="1:5">
      <c r="A6" s="4" t="s">
        <v>14</v>
      </c>
      <c r="B6" s="4" t="s">
        <v>15</v>
      </c>
      <c r="D6" s="4" t="s">
        <v>17</v>
      </c>
      <c r="E6" s="4" t="s">
        <v>18</v>
      </c>
    </row>
    <row r="7" spans="1:5">
      <c r="A7" s="4" t="s">
        <v>14</v>
      </c>
      <c r="B7" s="4" t="s">
        <v>15</v>
      </c>
      <c r="D7" s="4" t="s">
        <v>19</v>
      </c>
      <c r="E7" s="4" t="s">
        <v>15</v>
      </c>
    </row>
    <row r="8" spans="1:5">
      <c r="A8" s="4" t="s">
        <v>20</v>
      </c>
      <c r="B8" s="4" t="s">
        <v>21</v>
      </c>
      <c r="C8" s="4" t="s">
        <v>20</v>
      </c>
      <c r="D8" s="4" t="s">
        <v>22</v>
      </c>
      <c r="E8" s="4" t="s">
        <v>21</v>
      </c>
    </row>
    <row r="9" spans="1:5">
      <c r="A9" s="4" t="s">
        <v>23</v>
      </c>
      <c r="B9" s="4" t="s">
        <v>24</v>
      </c>
      <c r="C9" s="4" t="s">
        <v>23</v>
      </c>
      <c r="D9" s="4" t="s">
        <v>25</v>
      </c>
      <c r="E9" s="4" t="s">
        <v>24</v>
      </c>
    </row>
    <row r="10" spans="1:5">
      <c r="A10" s="4" t="s">
        <v>26</v>
      </c>
      <c r="B10" s="4" t="s">
        <v>27</v>
      </c>
      <c r="C10" s="4" t="s">
        <v>26</v>
      </c>
      <c r="D10" s="4" t="s">
        <v>28</v>
      </c>
      <c r="E10" s="4" t="s">
        <v>27</v>
      </c>
    </row>
    <row r="11" spans="1:5">
      <c r="A11" s="4" t="s">
        <v>29</v>
      </c>
      <c r="B11" s="4" t="s">
        <v>30</v>
      </c>
      <c r="C11" s="4" t="s">
        <v>29</v>
      </c>
      <c r="D11" s="4" t="s">
        <v>31</v>
      </c>
      <c r="E11" s="4" t="s">
        <v>30</v>
      </c>
    </row>
    <row r="12" spans="1:5">
      <c r="A12" s="4" t="s">
        <v>32</v>
      </c>
      <c r="B12" s="4" t="s">
        <v>33</v>
      </c>
      <c r="C12" s="4" t="s">
        <v>32</v>
      </c>
      <c r="D12" s="4" t="s">
        <v>34</v>
      </c>
      <c r="E12" s="4" t="s">
        <v>33</v>
      </c>
    </row>
    <row r="13" spans="1:5">
      <c r="A13" s="4" t="s">
        <v>32</v>
      </c>
      <c r="B13" s="4" t="s">
        <v>33</v>
      </c>
      <c r="D13" s="4" t="s">
        <v>35</v>
      </c>
      <c r="E13" s="4" t="s">
        <v>36</v>
      </c>
    </row>
    <row r="14" spans="1:5">
      <c r="A14" s="4" t="s">
        <v>37</v>
      </c>
      <c r="B14" s="4" t="s">
        <v>38</v>
      </c>
      <c r="D14" s="8" t="s">
        <v>39</v>
      </c>
      <c r="E14" s="8" t="s">
        <v>40</v>
      </c>
    </row>
    <row r="15" spans="1:5">
      <c r="A15" s="4" t="s">
        <v>37</v>
      </c>
      <c r="B15" s="4" t="s">
        <v>38</v>
      </c>
      <c r="D15" s="8" t="s">
        <v>41</v>
      </c>
      <c r="E15" s="8" t="s">
        <v>40</v>
      </c>
    </row>
    <row r="16" spans="1:5">
      <c r="A16" s="4" t="s">
        <v>37</v>
      </c>
      <c r="B16" s="4" t="s">
        <v>38</v>
      </c>
      <c r="C16" s="4" t="s">
        <v>42</v>
      </c>
      <c r="D16" s="8" t="s">
        <v>43</v>
      </c>
      <c r="E16" s="8" t="s">
        <v>44</v>
      </c>
    </row>
    <row r="17" spans="1:5">
      <c r="A17" s="4" t="s">
        <v>37</v>
      </c>
      <c r="B17" s="4" t="s">
        <v>38</v>
      </c>
      <c r="D17" s="8" t="s">
        <v>45</v>
      </c>
      <c r="E17" s="8" t="s">
        <v>44</v>
      </c>
    </row>
    <row r="18" spans="1:5">
      <c r="A18" s="4" t="s">
        <v>37</v>
      </c>
      <c r="B18" s="4" t="s">
        <v>38</v>
      </c>
      <c r="D18" s="8" t="s">
        <v>46</v>
      </c>
      <c r="E18" s="8" t="s">
        <v>44</v>
      </c>
    </row>
    <row r="19" spans="1:5">
      <c r="A19" s="4" t="s">
        <v>37</v>
      </c>
      <c r="B19" s="4" t="s">
        <v>38</v>
      </c>
      <c r="D19" s="8" t="s">
        <v>47</v>
      </c>
      <c r="E19" s="8" t="s">
        <v>48</v>
      </c>
    </row>
    <row r="20" spans="1:5">
      <c r="A20" s="4" t="s">
        <v>37</v>
      </c>
      <c r="B20" s="4" t="s">
        <v>38</v>
      </c>
      <c r="D20" s="8" t="s">
        <v>49</v>
      </c>
      <c r="E20" s="8" t="s">
        <v>50</v>
      </c>
    </row>
    <row r="21" spans="1:5">
      <c r="A21" s="4" t="s">
        <v>37</v>
      </c>
      <c r="B21" s="4" t="s">
        <v>38</v>
      </c>
      <c r="D21" s="8" t="s">
        <v>51</v>
      </c>
      <c r="E21" s="8" t="s">
        <v>48</v>
      </c>
    </row>
    <row r="22" spans="1:5">
      <c r="A22" s="4" t="s">
        <v>37</v>
      </c>
      <c r="B22" s="4" t="s">
        <v>38</v>
      </c>
      <c r="D22" s="8" t="s">
        <v>52</v>
      </c>
      <c r="E22" s="8" t="s">
        <v>48</v>
      </c>
    </row>
    <row r="23" spans="1:5">
      <c r="A23" s="4" t="s">
        <v>37</v>
      </c>
      <c r="B23" s="4" t="s">
        <v>38</v>
      </c>
      <c r="D23" s="8" t="s">
        <v>53</v>
      </c>
      <c r="E23" s="8" t="s">
        <v>48</v>
      </c>
    </row>
    <row r="24" spans="1:5">
      <c r="A24" s="4" t="s">
        <v>37</v>
      </c>
      <c r="B24" s="4" t="s">
        <v>38</v>
      </c>
      <c r="D24" s="8" t="s">
        <v>54</v>
      </c>
      <c r="E24" s="8" t="s">
        <v>48</v>
      </c>
    </row>
    <row r="25" spans="1:5">
      <c r="A25" s="4" t="s">
        <v>37</v>
      </c>
      <c r="B25" s="4" t="s">
        <v>38</v>
      </c>
      <c r="D25" s="8" t="s">
        <v>55</v>
      </c>
      <c r="E25" s="8" t="s">
        <v>48</v>
      </c>
    </row>
    <row r="26" spans="1:5">
      <c r="A26" s="4" t="s">
        <v>37</v>
      </c>
      <c r="B26" s="4" t="s">
        <v>38</v>
      </c>
      <c r="D26" s="8" t="s">
        <v>56</v>
      </c>
      <c r="E26" s="8" t="s">
        <v>48</v>
      </c>
    </row>
    <row r="27" spans="1:5">
      <c r="A27" s="4" t="s">
        <v>37</v>
      </c>
      <c r="B27" s="4" t="s">
        <v>38</v>
      </c>
      <c r="D27" s="8" t="s">
        <v>57</v>
      </c>
      <c r="E27" s="8" t="s">
        <v>48</v>
      </c>
    </row>
    <row r="28" spans="1:5">
      <c r="A28" s="4" t="s">
        <v>37</v>
      </c>
      <c r="B28" s="4" t="s">
        <v>38</v>
      </c>
      <c r="D28" s="8" t="s">
        <v>58</v>
      </c>
      <c r="E28" s="8" t="s">
        <v>48</v>
      </c>
    </row>
    <row r="29" spans="1:5">
      <c r="A29" s="4" t="s">
        <v>37</v>
      </c>
      <c r="B29" s="4" t="s">
        <v>38</v>
      </c>
      <c r="D29" s="8" t="s">
        <v>59</v>
      </c>
      <c r="E29" s="8" t="s">
        <v>50</v>
      </c>
    </row>
    <row r="30" spans="1:5">
      <c r="A30" s="4" t="s">
        <v>37</v>
      </c>
      <c r="B30" s="4" t="s">
        <v>38</v>
      </c>
      <c r="D30" s="4" t="s">
        <v>60</v>
      </c>
      <c r="E30" s="4" t="s">
        <v>61</v>
      </c>
    </row>
    <row r="31" spans="1:5">
      <c r="A31" s="4" t="s">
        <v>37</v>
      </c>
      <c r="B31" s="4" t="s">
        <v>38</v>
      </c>
      <c r="C31" s="4" t="s">
        <v>62</v>
      </c>
      <c r="D31" s="4" t="s">
        <v>63</v>
      </c>
      <c r="E31" s="4" t="s">
        <v>48</v>
      </c>
    </row>
    <row r="32" spans="1:5">
      <c r="A32" s="4" t="s">
        <v>64</v>
      </c>
      <c r="B32" s="4" t="s">
        <v>65</v>
      </c>
      <c r="C32" s="4" t="s">
        <v>64</v>
      </c>
      <c r="D32" s="4" t="s">
        <v>66</v>
      </c>
      <c r="E32" s="4" t="s">
        <v>65</v>
      </c>
    </row>
    <row r="33" spans="1:5">
      <c r="A33" s="4" t="s">
        <v>67</v>
      </c>
      <c r="B33" s="4" t="s">
        <v>68</v>
      </c>
      <c r="C33" s="4" t="s">
        <v>67</v>
      </c>
      <c r="D33" s="4" t="s">
        <v>69</v>
      </c>
      <c r="E33" s="4" t="s">
        <v>68</v>
      </c>
    </row>
    <row r="34" spans="1:5">
      <c r="A34" s="4" t="s">
        <v>70</v>
      </c>
      <c r="B34" s="4" t="s">
        <v>71</v>
      </c>
      <c r="C34" s="4" t="s">
        <v>70</v>
      </c>
      <c r="D34" s="4" t="s">
        <v>72</v>
      </c>
      <c r="E34" s="4" t="s">
        <v>71</v>
      </c>
    </row>
    <row r="35" spans="1:5">
      <c r="A35" s="4" t="s">
        <v>73</v>
      </c>
      <c r="B35" s="4" t="s">
        <v>74</v>
      </c>
      <c r="C35" s="4" t="s">
        <v>73</v>
      </c>
      <c r="D35" s="4" t="s">
        <v>75</v>
      </c>
      <c r="E35" s="4" t="s">
        <v>74</v>
      </c>
    </row>
    <row r="36" spans="1:5">
      <c r="A36" s="4" t="s">
        <v>73</v>
      </c>
      <c r="B36" s="4" t="s">
        <v>74</v>
      </c>
      <c r="C36" s="4" t="s">
        <v>76</v>
      </c>
      <c r="D36" s="4" t="s">
        <v>77</v>
      </c>
    </row>
    <row r="37" spans="1:5">
      <c r="A37" s="4" t="s">
        <v>78</v>
      </c>
      <c r="B37" s="4" t="s">
        <v>79</v>
      </c>
      <c r="C37" s="4" t="s">
        <v>78</v>
      </c>
      <c r="D37" s="8" t="s">
        <v>80</v>
      </c>
      <c r="E37" s="8" t="s">
        <v>79</v>
      </c>
    </row>
    <row r="38" spans="1:5">
      <c r="A38" s="4" t="s">
        <v>78</v>
      </c>
      <c r="B38" s="4" t="s">
        <v>79</v>
      </c>
      <c r="C38" s="4" t="s">
        <v>81</v>
      </c>
      <c r="D38" s="8" t="s">
        <v>82</v>
      </c>
      <c r="E38" s="8" t="s">
        <v>79</v>
      </c>
    </row>
    <row r="39" spans="1:5">
      <c r="A39" s="4" t="s">
        <v>83</v>
      </c>
      <c r="B39" s="4" t="s">
        <v>84</v>
      </c>
      <c r="C39" s="4" t="s">
        <v>83</v>
      </c>
      <c r="D39" s="4" t="s">
        <v>85</v>
      </c>
      <c r="E39" s="4" t="s">
        <v>84</v>
      </c>
    </row>
    <row r="40" spans="1:5">
      <c r="A40" s="4" t="s">
        <v>86</v>
      </c>
      <c r="B40" s="4" t="s">
        <v>87</v>
      </c>
      <c r="C40" s="4" t="s">
        <v>86</v>
      </c>
      <c r="D40" s="4" t="s">
        <v>88</v>
      </c>
      <c r="E40" s="4" t="s">
        <v>87</v>
      </c>
    </row>
    <row r="41" spans="1:5">
      <c r="A41" s="4" t="s">
        <v>89</v>
      </c>
      <c r="B41" s="4" t="s">
        <v>90</v>
      </c>
      <c r="C41" s="4" t="s">
        <v>89</v>
      </c>
      <c r="D41" s="4" t="s">
        <v>91</v>
      </c>
      <c r="E41" s="4" t="s">
        <v>90</v>
      </c>
    </row>
    <row r="42" spans="1:5">
      <c r="A42" s="4" t="s">
        <v>92</v>
      </c>
      <c r="B42" s="4" t="s">
        <v>93</v>
      </c>
      <c r="C42" s="4" t="s">
        <v>94</v>
      </c>
      <c r="D42" s="4" t="s">
        <v>95</v>
      </c>
      <c r="E42" s="4" t="s">
        <v>96</v>
      </c>
    </row>
    <row r="43" spans="1:5">
      <c r="A43" s="4" t="s">
        <v>92</v>
      </c>
      <c r="B43" s="4" t="s">
        <v>93</v>
      </c>
      <c r="C43" s="4" t="s">
        <v>97</v>
      </c>
      <c r="D43" s="4" t="s">
        <v>98</v>
      </c>
      <c r="E43" s="4" t="s">
        <v>99</v>
      </c>
    </row>
    <row r="44" spans="1:5">
      <c r="A44" s="4" t="s">
        <v>92</v>
      </c>
      <c r="B44" s="4" t="s">
        <v>93</v>
      </c>
      <c r="C44" s="4" t="s">
        <v>100</v>
      </c>
      <c r="D44" s="4" t="s">
        <v>101</v>
      </c>
      <c r="E44" s="4" t="s">
        <v>102</v>
      </c>
    </row>
    <row r="45" spans="1:5">
      <c r="A45" s="4" t="s">
        <v>92</v>
      </c>
      <c r="B45" s="4" t="s">
        <v>93</v>
      </c>
      <c r="C45" s="4" t="s">
        <v>103</v>
      </c>
      <c r="D45" s="4" t="s">
        <v>104</v>
      </c>
      <c r="E45" s="4" t="s">
        <v>105</v>
      </c>
    </row>
    <row r="46" spans="1:5">
      <c r="A46" s="4" t="s">
        <v>92</v>
      </c>
      <c r="B46" s="4" t="s">
        <v>93</v>
      </c>
      <c r="C46" s="4" t="s">
        <v>106</v>
      </c>
      <c r="D46" s="4" t="s">
        <v>107</v>
      </c>
      <c r="E46" s="4" t="s">
        <v>108</v>
      </c>
    </row>
    <row r="47" spans="1:5">
      <c r="A47" s="4" t="s">
        <v>92</v>
      </c>
      <c r="B47" s="4" t="s">
        <v>93</v>
      </c>
      <c r="C47" s="4" t="s">
        <v>109</v>
      </c>
      <c r="D47" s="4" t="s">
        <v>110</v>
      </c>
      <c r="E47" s="4" t="s">
        <v>111</v>
      </c>
    </row>
    <row r="48" spans="1:5">
      <c r="A48" s="4" t="s">
        <v>92</v>
      </c>
      <c r="B48" s="4" t="s">
        <v>93</v>
      </c>
      <c r="C48" s="4" t="s">
        <v>112</v>
      </c>
      <c r="D48" s="4" t="s">
        <v>113</v>
      </c>
      <c r="E48" s="4" t="s">
        <v>114</v>
      </c>
    </row>
    <row r="49" spans="1:5">
      <c r="A49" s="4" t="s">
        <v>115</v>
      </c>
      <c r="B49" s="4" t="s">
        <v>116</v>
      </c>
      <c r="C49" s="4" t="s">
        <v>115</v>
      </c>
      <c r="D49" s="8" t="s">
        <v>116</v>
      </c>
      <c r="E49" s="8" t="s">
        <v>116</v>
      </c>
    </row>
    <row r="50" spans="1:5">
      <c r="A50" s="4" t="s">
        <v>115</v>
      </c>
      <c r="B50" s="4" t="s">
        <v>116</v>
      </c>
      <c r="D50" s="8" t="s">
        <v>116</v>
      </c>
      <c r="E50" s="8" t="s">
        <v>116</v>
      </c>
    </row>
    <row r="51" spans="1:5">
      <c r="A51" s="4" t="s">
        <v>117</v>
      </c>
      <c r="B51" s="4" t="s">
        <v>118</v>
      </c>
      <c r="C51" s="4" t="s">
        <v>117</v>
      </c>
      <c r="D51" s="4" t="s">
        <v>119</v>
      </c>
    </row>
    <row r="52" spans="1:5">
      <c r="A52" s="4" t="s">
        <v>117</v>
      </c>
      <c r="B52" s="4" t="s">
        <v>118</v>
      </c>
      <c r="C52" s="4" t="s">
        <v>117</v>
      </c>
      <c r="D52" s="4" t="s">
        <v>120</v>
      </c>
    </row>
    <row r="53" spans="1:5">
      <c r="A53" s="4" t="s">
        <v>117</v>
      </c>
      <c r="B53" s="4" t="s">
        <v>118</v>
      </c>
      <c r="C53" s="4" t="s">
        <v>117</v>
      </c>
      <c r="D53" s="8" t="s">
        <v>121</v>
      </c>
      <c r="E53" s="8" t="s">
        <v>118</v>
      </c>
    </row>
    <row r="54" spans="1:5">
      <c r="A54" s="4" t="s">
        <v>117</v>
      </c>
      <c r="B54" s="4" t="s">
        <v>118</v>
      </c>
      <c r="C54" s="4" t="s">
        <v>117</v>
      </c>
      <c r="D54" s="8" t="s">
        <v>122</v>
      </c>
      <c r="E54" s="8" t="s">
        <v>118</v>
      </c>
    </row>
    <row r="55" spans="1:5">
      <c r="A55" s="4" t="s">
        <v>123</v>
      </c>
      <c r="B55" s="4" t="s">
        <v>124</v>
      </c>
      <c r="C55" s="4" t="s">
        <v>123</v>
      </c>
      <c r="D55" s="4" t="s">
        <v>125</v>
      </c>
      <c r="E55" s="4" t="s">
        <v>124</v>
      </c>
    </row>
    <row r="56" spans="1:5">
      <c r="A56" s="4" t="s">
        <v>126</v>
      </c>
      <c r="B56" s="4" t="s">
        <v>127</v>
      </c>
      <c r="C56" s="4" t="s">
        <v>126</v>
      </c>
      <c r="D56" s="4" t="s">
        <v>128</v>
      </c>
    </row>
    <row r="57" spans="1:5">
      <c r="A57" s="4" t="s">
        <v>129</v>
      </c>
      <c r="B57" s="4" t="s">
        <v>130</v>
      </c>
      <c r="C57" s="4" t="s">
        <v>129</v>
      </c>
      <c r="D57" s="4" t="s">
        <v>131</v>
      </c>
      <c r="E57" s="4" t="s">
        <v>130</v>
      </c>
    </row>
    <row r="58" spans="1:5">
      <c r="A58" s="4" t="s">
        <v>132</v>
      </c>
      <c r="B58" s="4" t="s">
        <v>133</v>
      </c>
      <c r="C58" s="4" t="s">
        <v>134</v>
      </c>
      <c r="D58" s="4" t="s">
        <v>135</v>
      </c>
      <c r="E58" s="4" t="s">
        <v>133</v>
      </c>
    </row>
    <row r="59" spans="1:5">
      <c r="A59" s="4" t="s">
        <v>136</v>
      </c>
      <c r="B59" s="4" t="s">
        <v>137</v>
      </c>
      <c r="C59" s="4" t="s">
        <v>136</v>
      </c>
      <c r="D59" s="4" t="s">
        <v>138</v>
      </c>
      <c r="E59" s="4" t="s">
        <v>137</v>
      </c>
    </row>
    <row r="60" spans="1:5">
      <c r="A60" s="4" t="s">
        <v>139</v>
      </c>
      <c r="B60" s="4" t="s">
        <v>140</v>
      </c>
      <c r="C60" s="4" t="s">
        <v>139</v>
      </c>
      <c r="D60" s="8" t="s">
        <v>141</v>
      </c>
      <c r="E60" s="8" t="s">
        <v>140</v>
      </c>
    </row>
    <row r="61" spans="1:5">
      <c r="A61" s="4" t="s">
        <v>139</v>
      </c>
      <c r="B61" s="4" t="s">
        <v>140</v>
      </c>
      <c r="D61" s="8" t="s">
        <v>142</v>
      </c>
      <c r="E61" s="8" t="s">
        <v>140</v>
      </c>
    </row>
    <row r="62" spans="1:5">
      <c r="A62" s="4" t="s">
        <v>139</v>
      </c>
      <c r="B62" s="4" t="s">
        <v>140</v>
      </c>
      <c r="D62" s="8" t="s">
        <v>143</v>
      </c>
      <c r="E62" s="8" t="s">
        <v>140</v>
      </c>
    </row>
    <row r="63" spans="1:5">
      <c r="A63" s="4" t="s">
        <v>139</v>
      </c>
      <c r="B63" s="4" t="s">
        <v>140</v>
      </c>
      <c r="D63" s="8" t="s">
        <v>144</v>
      </c>
      <c r="E63" s="8" t="s">
        <v>140</v>
      </c>
    </row>
    <row r="64" spans="1:5">
      <c r="A64" s="4" t="s">
        <v>139</v>
      </c>
      <c r="B64" s="4" t="s">
        <v>140</v>
      </c>
      <c r="D64" s="8" t="s">
        <v>145</v>
      </c>
      <c r="E64" s="8" t="s">
        <v>140</v>
      </c>
    </row>
    <row r="65" spans="1:5">
      <c r="A65" s="4" t="s">
        <v>139</v>
      </c>
      <c r="B65" s="4" t="s">
        <v>140</v>
      </c>
      <c r="D65" s="8" t="s">
        <v>146</v>
      </c>
      <c r="E65" s="8" t="s">
        <v>140</v>
      </c>
    </row>
    <row r="66" spans="1:5">
      <c r="A66" s="4" t="s">
        <v>139</v>
      </c>
      <c r="B66" s="4" t="s">
        <v>140</v>
      </c>
      <c r="D66" s="8" t="s">
        <v>147</v>
      </c>
      <c r="E66" s="8" t="s">
        <v>140</v>
      </c>
    </row>
    <row r="67" spans="1:5">
      <c r="A67" s="4" t="s">
        <v>139</v>
      </c>
      <c r="B67" s="4" t="s">
        <v>140</v>
      </c>
      <c r="D67" s="8" t="s">
        <v>148</v>
      </c>
      <c r="E67" s="8" t="s">
        <v>140</v>
      </c>
    </row>
    <row r="68" spans="1:5">
      <c r="A68" s="4" t="s">
        <v>139</v>
      </c>
      <c r="B68" s="4" t="s">
        <v>140</v>
      </c>
      <c r="D68" s="8" t="s">
        <v>149</v>
      </c>
      <c r="E68" s="8" t="s">
        <v>140</v>
      </c>
    </row>
    <row r="69" spans="1:5">
      <c r="A69" s="4" t="s">
        <v>139</v>
      </c>
      <c r="B69" s="4" t="s">
        <v>140</v>
      </c>
      <c r="D69" s="8" t="s">
        <v>150</v>
      </c>
      <c r="E69" s="8" t="s">
        <v>140</v>
      </c>
    </row>
    <row r="70" spans="1:5">
      <c r="A70" s="4" t="s">
        <v>139</v>
      </c>
      <c r="B70" s="4" t="s">
        <v>140</v>
      </c>
      <c r="D70" s="8" t="s">
        <v>151</v>
      </c>
      <c r="E70" s="8" t="s">
        <v>140</v>
      </c>
    </row>
    <row r="71" spans="1:5">
      <c r="A71" s="4" t="s">
        <v>139</v>
      </c>
      <c r="B71" s="4" t="s">
        <v>140</v>
      </c>
      <c r="D71" s="8" t="s">
        <v>152</v>
      </c>
      <c r="E71" s="8" t="s">
        <v>140</v>
      </c>
    </row>
    <row r="72" spans="1:5">
      <c r="A72" s="4" t="s">
        <v>139</v>
      </c>
      <c r="B72" s="4" t="s">
        <v>140</v>
      </c>
      <c r="D72" s="8" t="s">
        <v>153</v>
      </c>
      <c r="E72" s="8" t="s">
        <v>140</v>
      </c>
    </row>
    <row r="73" spans="1:5">
      <c r="A73" s="4" t="s">
        <v>139</v>
      </c>
      <c r="B73" s="4" t="s">
        <v>140</v>
      </c>
      <c r="D73" s="8" t="s">
        <v>154</v>
      </c>
      <c r="E73" s="8" t="s">
        <v>140</v>
      </c>
    </row>
    <row r="74" spans="1:5">
      <c r="A74" s="4" t="s">
        <v>139</v>
      </c>
      <c r="B74" s="4" t="s">
        <v>140</v>
      </c>
      <c r="D74" s="8" t="s">
        <v>155</v>
      </c>
      <c r="E74" s="8" t="s">
        <v>140</v>
      </c>
    </row>
    <row r="75" spans="1:5">
      <c r="A75" s="4" t="s">
        <v>139</v>
      </c>
      <c r="B75" s="4" t="s">
        <v>140</v>
      </c>
      <c r="D75" s="8" t="s">
        <v>156</v>
      </c>
      <c r="E75" s="8" t="s">
        <v>140</v>
      </c>
    </row>
    <row r="76" spans="1:5">
      <c r="A76" s="4" t="s">
        <v>139</v>
      </c>
      <c r="B76" s="4" t="s">
        <v>140</v>
      </c>
      <c r="D76" s="8" t="s">
        <v>157</v>
      </c>
      <c r="E76" s="8" t="s">
        <v>140</v>
      </c>
    </row>
    <row r="77" spans="1:5">
      <c r="A77" s="4" t="s">
        <v>139</v>
      </c>
      <c r="B77" s="4" t="s">
        <v>140</v>
      </c>
      <c r="D77" s="8" t="s">
        <v>158</v>
      </c>
      <c r="E77" s="8" t="s">
        <v>140</v>
      </c>
    </row>
    <row r="78" spans="1:5">
      <c r="A78" s="4" t="s">
        <v>139</v>
      </c>
      <c r="B78" s="4" t="s">
        <v>140</v>
      </c>
      <c r="D78" s="8" t="s">
        <v>159</v>
      </c>
      <c r="E78" s="8" t="s">
        <v>140</v>
      </c>
    </row>
    <row r="79" spans="1:5">
      <c r="A79" s="4" t="s">
        <v>139</v>
      </c>
      <c r="B79" s="4" t="s">
        <v>140</v>
      </c>
      <c r="D79" s="8" t="s">
        <v>160</v>
      </c>
      <c r="E79" s="8" t="s">
        <v>140</v>
      </c>
    </row>
    <row r="80" spans="1:5">
      <c r="A80" s="4" t="s">
        <v>139</v>
      </c>
      <c r="B80" s="4" t="s">
        <v>140</v>
      </c>
      <c r="D80" s="8" t="s">
        <v>161</v>
      </c>
      <c r="E80" s="8" t="s">
        <v>140</v>
      </c>
    </row>
    <row r="81" spans="1:5">
      <c r="A81" s="4" t="s">
        <v>139</v>
      </c>
      <c r="B81" s="4" t="s">
        <v>140</v>
      </c>
      <c r="D81" s="8" t="s">
        <v>162</v>
      </c>
      <c r="E81" s="8" t="s">
        <v>140</v>
      </c>
    </row>
    <row r="82" spans="1:5">
      <c r="A82" s="4" t="s">
        <v>139</v>
      </c>
      <c r="B82" s="4" t="s">
        <v>140</v>
      </c>
      <c r="D82" s="8" t="s">
        <v>163</v>
      </c>
      <c r="E82" s="8" t="s">
        <v>140</v>
      </c>
    </row>
    <row r="83" spans="1:5">
      <c r="A83" s="4" t="s">
        <v>139</v>
      </c>
      <c r="B83" s="4" t="s">
        <v>140</v>
      </c>
      <c r="D83" s="4" t="s">
        <v>164</v>
      </c>
      <c r="E83" s="4" t="s">
        <v>165</v>
      </c>
    </row>
    <row r="84" spans="1:5">
      <c r="A84" s="4" t="s">
        <v>166</v>
      </c>
      <c r="B84" s="4" t="s">
        <v>167</v>
      </c>
      <c r="C84" s="4" t="s">
        <v>168</v>
      </c>
      <c r="D84" s="8" t="s">
        <v>169</v>
      </c>
      <c r="E84" s="8" t="s">
        <v>169</v>
      </c>
    </row>
    <row r="85" spans="1:5">
      <c r="A85" s="4" t="s">
        <v>166</v>
      </c>
      <c r="B85" s="4" t="s">
        <v>167</v>
      </c>
      <c r="C85" s="4" t="s">
        <v>170</v>
      </c>
      <c r="D85" s="8" t="s">
        <v>171</v>
      </c>
      <c r="E85" s="8" t="s">
        <v>171</v>
      </c>
    </row>
    <row r="86" spans="1:5">
      <c r="A86" s="4" t="s">
        <v>166</v>
      </c>
      <c r="B86" s="4" t="s">
        <v>167</v>
      </c>
      <c r="D86" s="8" t="s">
        <v>169</v>
      </c>
      <c r="E86" s="8" t="s">
        <v>169</v>
      </c>
    </row>
    <row r="87" spans="1:5">
      <c r="A87" s="4" t="s">
        <v>166</v>
      </c>
      <c r="B87" s="4" t="s">
        <v>167</v>
      </c>
      <c r="D87" s="8" t="s">
        <v>171</v>
      </c>
      <c r="E87" s="8" t="s">
        <v>171</v>
      </c>
    </row>
    <row r="88" spans="1:5">
      <c r="A88" s="4" t="s">
        <v>166</v>
      </c>
      <c r="B88" s="4" t="s">
        <v>167</v>
      </c>
      <c r="C88" s="4" t="s">
        <v>172</v>
      </c>
      <c r="D88" s="8" t="s">
        <v>173</v>
      </c>
      <c r="E88" s="8" t="s">
        <v>174</v>
      </c>
    </row>
    <row r="89" spans="1:5">
      <c r="A89" s="4" t="s">
        <v>166</v>
      </c>
      <c r="B89" s="4" t="s">
        <v>167</v>
      </c>
      <c r="C89" s="4" t="s">
        <v>172</v>
      </c>
      <c r="D89" s="8" t="s">
        <v>175</v>
      </c>
      <c r="E89" s="8" t="s">
        <v>174</v>
      </c>
    </row>
    <row r="90" spans="1:5">
      <c r="A90" s="4" t="s">
        <v>166</v>
      </c>
      <c r="B90" s="4" t="s">
        <v>167</v>
      </c>
      <c r="C90" s="4" t="s">
        <v>172</v>
      </c>
      <c r="D90" s="8" t="s">
        <v>176</v>
      </c>
      <c r="E90" s="8" t="s">
        <v>174</v>
      </c>
    </row>
    <row r="91" spans="1:5">
      <c r="A91" s="4" t="s">
        <v>166</v>
      </c>
      <c r="B91" s="4" t="s">
        <v>167</v>
      </c>
      <c r="D91" s="8" t="s">
        <v>177</v>
      </c>
      <c r="E91" s="8" t="s">
        <v>174</v>
      </c>
    </row>
    <row r="92" spans="1:5">
      <c r="A92" s="4" t="s">
        <v>166</v>
      </c>
      <c r="B92" s="4" t="s">
        <v>167</v>
      </c>
      <c r="D92" s="8" t="s">
        <v>178</v>
      </c>
      <c r="E92" s="8" t="s">
        <v>174</v>
      </c>
    </row>
    <row r="93" spans="1:5">
      <c r="A93" s="4" t="s">
        <v>166</v>
      </c>
      <c r="B93" s="4" t="s">
        <v>167</v>
      </c>
      <c r="D93" s="8" t="s">
        <v>179</v>
      </c>
      <c r="E93" s="8" t="s">
        <v>174</v>
      </c>
    </row>
    <row r="94" spans="1:5">
      <c r="A94" s="4" t="s">
        <v>180</v>
      </c>
      <c r="B94" s="4" t="s">
        <v>181</v>
      </c>
      <c r="C94" s="4" t="s">
        <v>180</v>
      </c>
      <c r="D94" s="4" t="s">
        <v>182</v>
      </c>
      <c r="E94" s="4" t="s">
        <v>181</v>
      </c>
    </row>
    <row r="95" spans="1:5">
      <c r="A95" s="4" t="s">
        <v>183</v>
      </c>
      <c r="B95" s="4" t="s">
        <v>184</v>
      </c>
      <c r="C95" s="4" t="s">
        <v>183</v>
      </c>
      <c r="D95" s="4" t="s">
        <v>185</v>
      </c>
      <c r="E95" s="4" t="s">
        <v>184</v>
      </c>
    </row>
    <row r="96" spans="1:5">
      <c r="A96" s="4" t="s">
        <v>186</v>
      </c>
      <c r="B96" s="4" t="s">
        <v>187</v>
      </c>
      <c r="C96" s="4" t="s">
        <v>186</v>
      </c>
      <c r="D96" s="4" t="s">
        <v>188</v>
      </c>
      <c r="E96" s="4" t="s">
        <v>187</v>
      </c>
    </row>
    <row r="97" spans="1:5">
      <c r="A97" s="4" t="s">
        <v>189</v>
      </c>
      <c r="B97" s="4" t="s">
        <v>190</v>
      </c>
      <c r="C97" s="4" t="s">
        <v>189</v>
      </c>
      <c r="D97" s="4" t="s">
        <v>191</v>
      </c>
      <c r="E97" s="4" t="s">
        <v>190</v>
      </c>
    </row>
    <row r="98" spans="1:5">
      <c r="A98" s="4" t="s">
        <v>192</v>
      </c>
      <c r="B98" s="4" t="s">
        <v>193</v>
      </c>
      <c r="C98" s="4" t="s">
        <v>194</v>
      </c>
      <c r="D98" s="4" t="s">
        <v>195</v>
      </c>
      <c r="E98" s="4" t="s">
        <v>196</v>
      </c>
    </row>
    <row r="99" spans="1:5">
      <c r="A99" s="4" t="s">
        <v>192</v>
      </c>
      <c r="B99" s="4" t="s">
        <v>193</v>
      </c>
      <c r="C99" s="4" t="s">
        <v>197</v>
      </c>
      <c r="D99" s="4" t="s">
        <v>198</v>
      </c>
      <c r="E99" s="4" t="s">
        <v>199</v>
      </c>
    </row>
    <row r="100" spans="1:5">
      <c r="A100" s="4" t="s">
        <v>192</v>
      </c>
      <c r="B100" s="4" t="s">
        <v>193</v>
      </c>
      <c r="C100" s="4" t="s">
        <v>200</v>
      </c>
      <c r="D100" s="4" t="s">
        <v>201</v>
      </c>
      <c r="E100" s="4" t="s">
        <v>202</v>
      </c>
    </row>
    <row r="101" spans="1:5">
      <c r="A101" s="4" t="s">
        <v>192</v>
      </c>
      <c r="B101" s="4" t="s">
        <v>193</v>
      </c>
      <c r="C101" s="4" t="s">
        <v>203</v>
      </c>
      <c r="D101" s="4" t="s">
        <v>204</v>
      </c>
      <c r="E101" s="4" t="s">
        <v>205</v>
      </c>
    </row>
    <row r="102" spans="1:5">
      <c r="A102" s="4" t="s">
        <v>206</v>
      </c>
      <c r="B102" s="4" t="s">
        <v>207</v>
      </c>
      <c r="C102" s="4" t="s">
        <v>206</v>
      </c>
      <c r="D102" s="4" t="s">
        <v>208</v>
      </c>
      <c r="E102" s="4" t="s">
        <v>207</v>
      </c>
    </row>
    <row r="103" spans="1:5">
      <c r="A103" s="4" t="s">
        <v>209</v>
      </c>
      <c r="B103" s="4" t="s">
        <v>210</v>
      </c>
      <c r="C103" s="4" t="s">
        <v>209</v>
      </c>
      <c r="D103" s="4" t="s">
        <v>211</v>
      </c>
      <c r="E103" s="4" t="s">
        <v>210</v>
      </c>
    </row>
    <row r="104" spans="1:5">
      <c r="A104" s="4" t="s">
        <v>212</v>
      </c>
      <c r="B104" s="4" t="s">
        <v>213</v>
      </c>
      <c r="C104" s="4" t="s">
        <v>212</v>
      </c>
      <c r="D104" s="4" t="s">
        <v>214</v>
      </c>
    </row>
    <row r="105" spans="1:5">
      <c r="A105" s="4" t="s">
        <v>215</v>
      </c>
      <c r="B105" s="4" t="s">
        <v>216</v>
      </c>
      <c r="C105" s="4" t="s">
        <v>215</v>
      </c>
      <c r="D105" s="4" t="s">
        <v>217</v>
      </c>
    </row>
    <row r="106" spans="1:5">
      <c r="A106" s="4" t="s">
        <v>218</v>
      </c>
      <c r="B106" s="4" t="s">
        <v>219</v>
      </c>
      <c r="C106" s="4" t="s">
        <v>220</v>
      </c>
      <c r="D106" s="4" t="s">
        <v>221</v>
      </c>
      <c r="E106" s="4" t="s">
        <v>222</v>
      </c>
    </row>
    <row r="107" spans="1:5">
      <c r="A107" s="4" t="s">
        <v>218</v>
      </c>
      <c r="B107" s="4" t="s">
        <v>223</v>
      </c>
      <c r="C107" s="4" t="s">
        <v>224</v>
      </c>
      <c r="D107" s="4" t="s">
        <v>225</v>
      </c>
      <c r="E107" s="4" t="s">
        <v>226</v>
      </c>
    </row>
  </sheetData>
  <autoFilter ref="A1:E107" xr:uid="{00000000-0001-0000-0100-000000000000}"/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2"/>
  <sheetViews>
    <sheetView zoomScale="80" zoomScaleNormal="80" workbookViewId="0">
      <selection activeCell="A12" sqref="A12"/>
    </sheetView>
  </sheetViews>
  <sheetFormatPr defaultColWidth="10.5703125" defaultRowHeight="14.45"/>
  <sheetData>
    <row r="1" spans="1:2">
      <c r="A1" s="1" t="s">
        <v>227</v>
      </c>
      <c r="B1" s="1" t="s">
        <v>228</v>
      </c>
    </row>
    <row r="2" spans="1:2">
      <c r="A2">
        <v>2020</v>
      </c>
      <c r="B2" t="s">
        <v>229</v>
      </c>
    </row>
    <row r="3" spans="1:2">
      <c r="A3">
        <f t="shared" ref="A3:A42" si="0">A2+1</f>
        <v>2021</v>
      </c>
      <c r="B3" t="s">
        <v>229</v>
      </c>
    </row>
    <row r="4" spans="1:2">
      <c r="A4">
        <f t="shared" si="0"/>
        <v>2022</v>
      </c>
      <c r="B4" t="s">
        <v>229</v>
      </c>
    </row>
    <row r="5" spans="1:2">
      <c r="A5">
        <f t="shared" si="0"/>
        <v>2023</v>
      </c>
      <c r="B5" t="s">
        <v>229</v>
      </c>
    </row>
    <row r="6" spans="1:2">
      <c r="A6">
        <f t="shared" si="0"/>
        <v>2024</v>
      </c>
      <c r="B6" t="s">
        <v>229</v>
      </c>
    </row>
    <row r="7" spans="1:2">
      <c r="A7">
        <f t="shared" si="0"/>
        <v>2025</v>
      </c>
      <c r="B7" t="s">
        <v>229</v>
      </c>
    </row>
    <row r="8" spans="1:2">
      <c r="A8">
        <f t="shared" si="0"/>
        <v>2026</v>
      </c>
      <c r="B8" t="s">
        <v>229</v>
      </c>
    </row>
    <row r="9" spans="1:2">
      <c r="A9">
        <f t="shared" si="0"/>
        <v>2027</v>
      </c>
      <c r="B9" t="s">
        <v>229</v>
      </c>
    </row>
    <row r="10" spans="1:2">
      <c r="A10">
        <f t="shared" si="0"/>
        <v>2028</v>
      </c>
      <c r="B10" t="s">
        <v>229</v>
      </c>
    </row>
    <row r="11" spans="1:2">
      <c r="A11">
        <f t="shared" si="0"/>
        <v>2029</v>
      </c>
      <c r="B11" t="s">
        <v>229</v>
      </c>
    </row>
    <row r="12" spans="1:2">
      <c r="A12">
        <f t="shared" si="0"/>
        <v>2030</v>
      </c>
      <c r="B12" t="s">
        <v>229</v>
      </c>
    </row>
    <row r="13" spans="1:2">
      <c r="A13">
        <f t="shared" si="0"/>
        <v>2031</v>
      </c>
      <c r="B13" t="s">
        <v>229</v>
      </c>
    </row>
    <row r="14" spans="1:2">
      <c r="A14">
        <f t="shared" si="0"/>
        <v>2032</v>
      </c>
      <c r="B14" t="s">
        <v>229</v>
      </c>
    </row>
    <row r="15" spans="1:2">
      <c r="A15">
        <f t="shared" si="0"/>
        <v>2033</v>
      </c>
      <c r="B15" t="s">
        <v>229</v>
      </c>
    </row>
    <row r="16" spans="1:2">
      <c r="A16">
        <f t="shared" si="0"/>
        <v>2034</v>
      </c>
      <c r="B16" t="s">
        <v>229</v>
      </c>
    </row>
    <row r="17" spans="1:2">
      <c r="A17">
        <f t="shared" si="0"/>
        <v>2035</v>
      </c>
      <c r="B17" t="s">
        <v>229</v>
      </c>
    </row>
    <row r="18" spans="1:2">
      <c r="A18">
        <f t="shared" si="0"/>
        <v>2036</v>
      </c>
      <c r="B18" t="s">
        <v>230</v>
      </c>
    </row>
    <row r="19" spans="1:2">
      <c r="A19">
        <f t="shared" si="0"/>
        <v>2037</v>
      </c>
      <c r="B19" t="s">
        <v>230</v>
      </c>
    </row>
    <row r="20" spans="1:2">
      <c r="A20">
        <f t="shared" si="0"/>
        <v>2038</v>
      </c>
      <c r="B20" t="s">
        <v>230</v>
      </c>
    </row>
    <row r="21" spans="1:2">
      <c r="A21">
        <f t="shared" si="0"/>
        <v>2039</v>
      </c>
      <c r="B21" t="s">
        <v>230</v>
      </c>
    </row>
    <row r="22" spans="1:2">
      <c r="A22">
        <f t="shared" si="0"/>
        <v>2040</v>
      </c>
      <c r="B22" t="s">
        <v>230</v>
      </c>
    </row>
    <row r="23" spans="1:2">
      <c r="A23">
        <f t="shared" si="0"/>
        <v>2041</v>
      </c>
      <c r="B23" t="s">
        <v>230</v>
      </c>
    </row>
    <row r="24" spans="1:2">
      <c r="A24">
        <f t="shared" si="0"/>
        <v>2042</v>
      </c>
      <c r="B24" t="s">
        <v>230</v>
      </c>
    </row>
    <row r="25" spans="1:2">
      <c r="A25">
        <f t="shared" si="0"/>
        <v>2043</v>
      </c>
      <c r="B25" t="s">
        <v>230</v>
      </c>
    </row>
    <row r="26" spans="1:2">
      <c r="A26">
        <f t="shared" si="0"/>
        <v>2044</v>
      </c>
      <c r="B26" t="s">
        <v>230</v>
      </c>
    </row>
    <row r="27" spans="1:2">
      <c r="A27">
        <f t="shared" si="0"/>
        <v>2045</v>
      </c>
      <c r="B27" t="s">
        <v>230</v>
      </c>
    </row>
    <row r="28" spans="1:2">
      <c r="A28">
        <f t="shared" si="0"/>
        <v>2046</v>
      </c>
      <c r="B28" t="s">
        <v>230</v>
      </c>
    </row>
    <row r="29" spans="1:2">
      <c r="A29">
        <f t="shared" si="0"/>
        <v>2047</v>
      </c>
      <c r="B29" t="s">
        <v>230</v>
      </c>
    </row>
    <row r="30" spans="1:2">
      <c r="A30">
        <f t="shared" si="0"/>
        <v>2048</v>
      </c>
      <c r="B30" t="s">
        <v>230</v>
      </c>
    </row>
    <row r="31" spans="1:2">
      <c r="A31">
        <f t="shared" si="0"/>
        <v>2049</v>
      </c>
      <c r="B31" t="s">
        <v>230</v>
      </c>
    </row>
    <row r="32" spans="1:2">
      <c r="A32">
        <f t="shared" si="0"/>
        <v>2050</v>
      </c>
      <c r="B32" t="s">
        <v>230</v>
      </c>
    </row>
    <row r="33" spans="1:2">
      <c r="A33">
        <f t="shared" si="0"/>
        <v>2051</v>
      </c>
      <c r="B33" t="s">
        <v>230</v>
      </c>
    </row>
    <row r="34" spans="1:2">
      <c r="A34">
        <f t="shared" si="0"/>
        <v>2052</v>
      </c>
      <c r="B34" t="s">
        <v>230</v>
      </c>
    </row>
    <row r="35" spans="1:2">
      <c r="A35">
        <f t="shared" si="0"/>
        <v>2053</v>
      </c>
      <c r="B35" t="s">
        <v>230</v>
      </c>
    </row>
    <row r="36" spans="1:2">
      <c r="A36">
        <f t="shared" si="0"/>
        <v>2054</v>
      </c>
      <c r="B36" t="s">
        <v>230</v>
      </c>
    </row>
    <row r="37" spans="1:2">
      <c r="A37">
        <f t="shared" si="0"/>
        <v>2055</v>
      </c>
      <c r="B37" t="s">
        <v>230</v>
      </c>
    </row>
    <row r="38" spans="1:2">
      <c r="A38">
        <f t="shared" si="0"/>
        <v>2056</v>
      </c>
      <c r="B38" t="s">
        <v>230</v>
      </c>
    </row>
    <row r="39" spans="1:2">
      <c r="A39">
        <f t="shared" si="0"/>
        <v>2057</v>
      </c>
      <c r="B39" t="s">
        <v>230</v>
      </c>
    </row>
    <row r="40" spans="1:2">
      <c r="A40">
        <f t="shared" si="0"/>
        <v>2058</v>
      </c>
      <c r="B40" t="s">
        <v>230</v>
      </c>
    </row>
    <row r="41" spans="1:2">
      <c r="A41">
        <f t="shared" si="0"/>
        <v>2059</v>
      </c>
      <c r="B41" t="s">
        <v>230</v>
      </c>
    </row>
    <row r="42" spans="1:2">
      <c r="A42">
        <f t="shared" si="0"/>
        <v>2060</v>
      </c>
      <c r="B42" t="s">
        <v>230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0"/>
  <sheetViews>
    <sheetView topLeftCell="A27" zoomScale="80" zoomScaleNormal="80" workbookViewId="0">
      <selection activeCell="F66" sqref="F66"/>
    </sheetView>
  </sheetViews>
  <sheetFormatPr defaultColWidth="10.5703125" defaultRowHeight="14.45"/>
  <cols>
    <col min="1" max="1" width="17" customWidth="1"/>
    <col min="2" max="2" width="14.42578125" customWidth="1"/>
  </cols>
  <sheetData>
    <row r="1" spans="1:2">
      <c r="A1" s="3" t="s">
        <v>3</v>
      </c>
      <c r="B1" s="3" t="s">
        <v>4</v>
      </c>
    </row>
    <row r="2" spans="1:2">
      <c r="A2" s="4" t="s">
        <v>7</v>
      </c>
      <c r="B2" s="4" t="s">
        <v>6</v>
      </c>
    </row>
    <row r="3" spans="1:2">
      <c r="A3" s="4" t="s">
        <v>10</v>
      </c>
      <c r="B3" s="4" t="s">
        <v>9</v>
      </c>
    </row>
    <row r="4" spans="1:2">
      <c r="A4" s="4" t="s">
        <v>13</v>
      </c>
      <c r="B4" s="4" t="s">
        <v>12</v>
      </c>
    </row>
    <row r="5" spans="1:2">
      <c r="A5" s="4" t="s">
        <v>16</v>
      </c>
      <c r="B5" s="4" t="s">
        <v>15</v>
      </c>
    </row>
    <row r="6" spans="1:2">
      <c r="A6" s="4" t="s">
        <v>17</v>
      </c>
      <c r="B6" s="4" t="s">
        <v>18</v>
      </c>
    </row>
    <row r="7" spans="1:2">
      <c r="A7" s="4" t="s">
        <v>22</v>
      </c>
      <c r="B7" s="4" t="s">
        <v>21</v>
      </c>
    </row>
    <row r="8" spans="1:2">
      <c r="A8" s="4" t="s">
        <v>25</v>
      </c>
      <c r="B8" s="4" t="s">
        <v>24</v>
      </c>
    </row>
    <row r="9" spans="1:2">
      <c r="A9" s="4" t="s">
        <v>28</v>
      </c>
      <c r="B9" s="4" t="s">
        <v>27</v>
      </c>
    </row>
    <row r="10" spans="1:2">
      <c r="A10" s="4" t="s">
        <v>31</v>
      </c>
      <c r="B10" s="4" t="s">
        <v>30</v>
      </c>
    </row>
    <row r="11" spans="1:2">
      <c r="A11" s="4" t="s">
        <v>34</v>
      </c>
      <c r="B11" s="4" t="s">
        <v>33</v>
      </c>
    </row>
    <row r="12" spans="1:2">
      <c r="A12" s="4" t="s">
        <v>35</v>
      </c>
      <c r="B12" s="4" t="s">
        <v>36</v>
      </c>
    </row>
    <row r="13" spans="1:2">
      <c r="A13" s="4" t="s">
        <v>41</v>
      </c>
      <c r="B13" s="4" t="s">
        <v>40</v>
      </c>
    </row>
    <row r="14" spans="1:2">
      <c r="A14" s="4" t="s">
        <v>43</v>
      </c>
      <c r="B14" s="4" t="s">
        <v>44</v>
      </c>
    </row>
    <row r="15" spans="1:2">
      <c r="A15" s="4" t="s">
        <v>49</v>
      </c>
      <c r="B15" s="4" t="s">
        <v>50</v>
      </c>
    </row>
    <row r="16" spans="1:2">
      <c r="A16" s="4" t="s">
        <v>60</v>
      </c>
      <c r="B16" s="4" t="s">
        <v>61</v>
      </c>
    </row>
    <row r="17" spans="1:2">
      <c r="A17" s="4" t="s">
        <v>63</v>
      </c>
      <c r="B17" s="4" t="s">
        <v>48</v>
      </c>
    </row>
    <row r="18" spans="1:2">
      <c r="A18" s="4" t="s">
        <v>66</v>
      </c>
      <c r="B18" s="4" t="s">
        <v>65</v>
      </c>
    </row>
    <row r="19" spans="1:2">
      <c r="A19" s="4" t="s">
        <v>69</v>
      </c>
      <c r="B19" s="4" t="s">
        <v>68</v>
      </c>
    </row>
    <row r="20" spans="1:2">
      <c r="A20" s="4" t="s">
        <v>72</v>
      </c>
      <c r="B20" s="4" t="s">
        <v>71</v>
      </c>
    </row>
    <row r="21" spans="1:2">
      <c r="A21" s="4" t="s">
        <v>75</v>
      </c>
      <c r="B21" s="4" t="s">
        <v>74</v>
      </c>
    </row>
    <row r="22" spans="1:2">
      <c r="A22" s="9" t="s">
        <v>80</v>
      </c>
      <c r="B22" s="9" t="s">
        <v>79</v>
      </c>
    </row>
    <row r="23" spans="1:2">
      <c r="A23" s="9" t="s">
        <v>82</v>
      </c>
      <c r="B23" s="9" t="s">
        <v>79</v>
      </c>
    </row>
    <row r="24" spans="1:2">
      <c r="A24" s="4" t="s">
        <v>85</v>
      </c>
      <c r="B24" s="4" t="s">
        <v>84</v>
      </c>
    </row>
    <row r="25" spans="1:2">
      <c r="A25" s="4" t="s">
        <v>88</v>
      </c>
      <c r="B25" s="4" t="s">
        <v>87</v>
      </c>
    </row>
    <row r="26" spans="1:2">
      <c r="A26" s="4" t="s">
        <v>91</v>
      </c>
      <c r="B26" s="4" t="s">
        <v>90</v>
      </c>
    </row>
    <row r="27" spans="1:2">
      <c r="A27" s="4" t="s">
        <v>95</v>
      </c>
      <c r="B27" s="4" t="s">
        <v>96</v>
      </c>
    </row>
    <row r="28" spans="1:2">
      <c r="A28" s="4" t="s">
        <v>98</v>
      </c>
      <c r="B28" s="4" t="s">
        <v>99</v>
      </c>
    </row>
    <row r="29" spans="1:2">
      <c r="A29" s="4" t="s">
        <v>101</v>
      </c>
      <c r="B29" s="4" t="s">
        <v>102</v>
      </c>
    </row>
    <row r="30" spans="1:2">
      <c r="A30" s="4" t="s">
        <v>104</v>
      </c>
      <c r="B30" s="4" t="s">
        <v>105</v>
      </c>
    </row>
    <row r="31" spans="1:2">
      <c r="A31" s="4" t="s">
        <v>107</v>
      </c>
      <c r="B31" s="4" t="s">
        <v>108</v>
      </c>
    </row>
    <row r="32" spans="1:2">
      <c r="A32" s="4" t="s">
        <v>110</v>
      </c>
      <c r="B32" s="4" t="s">
        <v>111</v>
      </c>
    </row>
    <row r="33" spans="1:2">
      <c r="A33" s="4" t="s">
        <v>113</v>
      </c>
      <c r="B33" s="4" t="s">
        <v>114</v>
      </c>
    </row>
    <row r="34" spans="1:2">
      <c r="A34" s="4" t="s">
        <v>231</v>
      </c>
      <c r="B34" s="4" t="s">
        <v>116</v>
      </c>
    </row>
    <row r="35" spans="1:2">
      <c r="A35" s="9" t="s">
        <v>121</v>
      </c>
      <c r="B35" s="9" t="s">
        <v>118</v>
      </c>
    </row>
    <row r="36" spans="1:2">
      <c r="A36" s="9" t="s">
        <v>122</v>
      </c>
      <c r="B36" s="9" t="s">
        <v>118</v>
      </c>
    </row>
    <row r="37" spans="1:2">
      <c r="A37" s="4" t="s">
        <v>125</v>
      </c>
      <c r="B37" s="4" t="s">
        <v>124</v>
      </c>
    </row>
    <row r="38" spans="1:2">
      <c r="A38" s="4" t="s">
        <v>131</v>
      </c>
      <c r="B38" s="4" t="s">
        <v>130</v>
      </c>
    </row>
    <row r="39" spans="1:2">
      <c r="A39" s="4" t="s">
        <v>135</v>
      </c>
      <c r="B39" s="4" t="s">
        <v>133</v>
      </c>
    </row>
    <row r="40" spans="1:2">
      <c r="A40" s="4" t="s">
        <v>138</v>
      </c>
      <c r="B40" s="4" t="s">
        <v>137</v>
      </c>
    </row>
    <row r="41" spans="1:2">
      <c r="A41" s="4" t="s">
        <v>141</v>
      </c>
      <c r="B41" s="4" t="s">
        <v>140</v>
      </c>
    </row>
    <row r="42" spans="1:2">
      <c r="A42" s="4" t="s">
        <v>232</v>
      </c>
      <c r="B42" s="4" t="s">
        <v>169</v>
      </c>
    </row>
    <row r="43" spans="1:2">
      <c r="A43" s="4" t="s">
        <v>233</v>
      </c>
      <c r="B43" s="4" t="s">
        <v>171</v>
      </c>
    </row>
    <row r="44" spans="1:2">
      <c r="A44" s="9" t="s">
        <v>234</v>
      </c>
      <c r="B44" s="9" t="s">
        <v>174</v>
      </c>
    </row>
    <row r="45" spans="1:2">
      <c r="A45" s="9" t="s">
        <v>235</v>
      </c>
      <c r="B45" s="9" t="s">
        <v>174</v>
      </c>
    </row>
    <row r="46" spans="1:2">
      <c r="A46" s="9" t="s">
        <v>236</v>
      </c>
      <c r="B46" s="9" t="s">
        <v>174</v>
      </c>
    </row>
    <row r="47" spans="1:2">
      <c r="A47" s="9" t="s">
        <v>182</v>
      </c>
      <c r="B47" s="9" t="s">
        <v>181</v>
      </c>
    </row>
    <row r="48" spans="1:2">
      <c r="A48" s="9" t="s">
        <v>237</v>
      </c>
      <c r="B48" s="9" t="s">
        <v>181</v>
      </c>
    </row>
    <row r="49" spans="1:2">
      <c r="A49" s="9" t="s">
        <v>238</v>
      </c>
      <c r="B49" s="9" t="s">
        <v>181</v>
      </c>
    </row>
    <row r="50" spans="1:2">
      <c r="A50" s="4" t="s">
        <v>185</v>
      </c>
      <c r="B50" s="4" t="s">
        <v>184</v>
      </c>
    </row>
    <row r="51" spans="1:2">
      <c r="A51" s="4" t="s">
        <v>188</v>
      </c>
      <c r="B51" s="4" t="s">
        <v>187</v>
      </c>
    </row>
    <row r="52" spans="1:2">
      <c r="A52" s="4" t="s">
        <v>191</v>
      </c>
      <c r="B52" s="4" t="s">
        <v>190</v>
      </c>
    </row>
    <row r="53" spans="1:2">
      <c r="A53" s="4" t="s">
        <v>195</v>
      </c>
      <c r="B53" s="4" t="s">
        <v>196</v>
      </c>
    </row>
    <row r="54" spans="1:2">
      <c r="A54" s="4" t="s">
        <v>198</v>
      </c>
      <c r="B54" s="4" t="s">
        <v>199</v>
      </c>
    </row>
    <row r="55" spans="1:2">
      <c r="A55" s="4" t="s">
        <v>201</v>
      </c>
      <c r="B55" s="4" t="s">
        <v>202</v>
      </c>
    </row>
    <row r="56" spans="1:2">
      <c r="A56" s="4" t="s">
        <v>204</v>
      </c>
      <c r="B56" s="4" t="s">
        <v>205</v>
      </c>
    </row>
    <row r="57" spans="1:2">
      <c r="A57" s="4" t="s">
        <v>208</v>
      </c>
      <c r="B57" s="4" t="s">
        <v>207</v>
      </c>
    </row>
    <row r="58" spans="1:2">
      <c r="A58" s="4" t="s">
        <v>211</v>
      </c>
      <c r="B58" s="4" t="s">
        <v>210</v>
      </c>
    </row>
    <row r="59" spans="1:2">
      <c r="A59" s="4" t="s">
        <v>221</v>
      </c>
      <c r="B59" s="4" t="s">
        <v>222</v>
      </c>
    </row>
    <row r="60" spans="1:2">
      <c r="A60" s="4" t="s">
        <v>225</v>
      </c>
      <c r="B60" s="4" t="s">
        <v>226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0"/>
  <sheetViews>
    <sheetView tabSelected="1" zoomScale="115" zoomScaleNormal="115" workbookViewId="0">
      <selection activeCell="B1" sqref="B1"/>
    </sheetView>
  </sheetViews>
  <sheetFormatPr defaultColWidth="10.5703125" defaultRowHeight="14.45"/>
  <cols>
    <col min="2" max="2" width="69.42578125" customWidth="1"/>
    <col min="3" max="3" width="30.28515625" customWidth="1"/>
    <col min="4" max="4" width="21.140625" customWidth="1"/>
  </cols>
  <sheetData>
    <row r="1" spans="1:4">
      <c r="A1" s="3" t="s">
        <v>239</v>
      </c>
      <c r="B1" s="3" t="s">
        <v>240</v>
      </c>
      <c r="C1" s="3" t="s">
        <v>241</v>
      </c>
      <c r="D1" s="3" t="s">
        <v>242</v>
      </c>
    </row>
    <row r="2" spans="1:4">
      <c r="A2" t="s">
        <v>243</v>
      </c>
      <c r="B2" t="s">
        <v>244</v>
      </c>
      <c r="C2" t="s">
        <v>245</v>
      </c>
      <c r="D2" t="s">
        <v>246</v>
      </c>
    </row>
    <row r="3" spans="1:4">
      <c r="A3" t="s">
        <v>243</v>
      </c>
      <c r="B3" t="s">
        <v>247</v>
      </c>
      <c r="C3" t="s">
        <v>245</v>
      </c>
      <c r="D3" t="s">
        <v>246</v>
      </c>
    </row>
    <row r="4" spans="1:4">
      <c r="A4" t="s">
        <v>243</v>
      </c>
      <c r="B4" t="s">
        <v>248</v>
      </c>
      <c r="C4" t="s">
        <v>249</v>
      </c>
      <c r="D4" s="10" t="s">
        <v>250</v>
      </c>
    </row>
    <row r="5" spans="1:4">
      <c r="A5" t="s">
        <v>243</v>
      </c>
      <c r="B5" t="s">
        <v>251</v>
      </c>
      <c r="C5" t="s">
        <v>249</v>
      </c>
      <c r="D5" s="10" t="s">
        <v>250</v>
      </c>
    </row>
    <row r="6" spans="1:4">
      <c r="A6" t="s">
        <v>243</v>
      </c>
      <c r="B6" t="s">
        <v>252</v>
      </c>
      <c r="C6" t="s">
        <v>253</v>
      </c>
      <c r="D6" t="s">
        <v>246</v>
      </c>
    </row>
    <row r="7" spans="1:4">
      <c r="A7" t="s">
        <v>243</v>
      </c>
      <c r="B7" t="s">
        <v>254</v>
      </c>
      <c r="C7" t="s">
        <v>255</v>
      </c>
      <c r="D7" s="10" t="s">
        <v>250</v>
      </c>
    </row>
    <row r="8" spans="1:4">
      <c r="A8" t="s">
        <v>243</v>
      </c>
      <c r="B8" t="s">
        <v>256</v>
      </c>
      <c r="C8" t="s">
        <v>255</v>
      </c>
      <c r="D8" s="10" t="s">
        <v>250</v>
      </c>
    </row>
    <row r="9" spans="1:4">
      <c r="A9" t="s">
        <v>243</v>
      </c>
      <c r="B9" t="s">
        <v>257</v>
      </c>
      <c r="C9" t="s">
        <v>258</v>
      </c>
      <c r="D9" t="s">
        <v>246</v>
      </c>
    </row>
    <row r="10" spans="1:4">
      <c r="A10" t="s">
        <v>243</v>
      </c>
      <c r="B10" t="s">
        <v>259</v>
      </c>
      <c r="C10" t="s">
        <v>258</v>
      </c>
      <c r="D10" t="s">
        <v>246</v>
      </c>
    </row>
    <row r="11" spans="1:4">
      <c r="A11" t="s">
        <v>243</v>
      </c>
      <c r="B11" t="s">
        <v>260</v>
      </c>
      <c r="C11" t="s">
        <v>261</v>
      </c>
      <c r="D11" s="10" t="s">
        <v>250</v>
      </c>
    </row>
    <row r="12" spans="1:4">
      <c r="A12" t="s">
        <v>243</v>
      </c>
      <c r="B12" t="s">
        <v>262</v>
      </c>
      <c r="C12" t="s">
        <v>263</v>
      </c>
      <c r="D12" t="s">
        <v>246</v>
      </c>
    </row>
    <row r="13" spans="1:4">
      <c r="A13" t="s">
        <v>243</v>
      </c>
      <c r="B13" t="s">
        <v>264</v>
      </c>
      <c r="C13" t="s">
        <v>263</v>
      </c>
      <c r="D13" t="s">
        <v>246</v>
      </c>
    </row>
    <row r="14" spans="1:4">
      <c r="A14" t="s">
        <v>243</v>
      </c>
      <c r="B14" t="s">
        <v>265</v>
      </c>
      <c r="C14" t="s">
        <v>266</v>
      </c>
      <c r="D14" s="10" t="s">
        <v>250</v>
      </c>
    </row>
    <row r="15" spans="1:4">
      <c r="A15" t="s">
        <v>243</v>
      </c>
      <c r="B15" t="s">
        <v>267</v>
      </c>
      <c r="C15" t="s">
        <v>266</v>
      </c>
      <c r="D15" s="10" t="s">
        <v>250</v>
      </c>
    </row>
    <row r="16" spans="1:4">
      <c r="A16" t="s">
        <v>243</v>
      </c>
      <c r="B16" t="s">
        <v>268</v>
      </c>
      <c r="C16" t="s">
        <v>269</v>
      </c>
      <c r="D16" t="s">
        <v>246</v>
      </c>
    </row>
    <row r="17" spans="1:4">
      <c r="A17" t="s">
        <v>243</v>
      </c>
      <c r="B17" t="s">
        <v>270</v>
      </c>
      <c r="C17" t="s">
        <v>269</v>
      </c>
      <c r="D17" t="s">
        <v>246</v>
      </c>
    </row>
    <row r="18" spans="1:4">
      <c r="A18" t="s">
        <v>243</v>
      </c>
      <c r="B18" t="s">
        <v>271</v>
      </c>
      <c r="C18" t="s">
        <v>272</v>
      </c>
      <c r="D18" s="10" t="s">
        <v>250</v>
      </c>
    </row>
    <row r="19" spans="1:4">
      <c r="A19" t="s">
        <v>243</v>
      </c>
      <c r="B19" t="s">
        <v>273</v>
      </c>
      <c r="C19" t="s">
        <v>272</v>
      </c>
      <c r="D19" s="10" t="s">
        <v>250</v>
      </c>
    </row>
    <row r="20" spans="1:4">
      <c r="A20" t="s">
        <v>243</v>
      </c>
      <c r="B20" t="s">
        <v>274</v>
      </c>
      <c r="C20" t="s">
        <v>275</v>
      </c>
      <c r="D20" t="s">
        <v>246</v>
      </c>
    </row>
    <row r="21" spans="1:4">
      <c r="A21" t="s">
        <v>243</v>
      </c>
      <c r="B21" t="s">
        <v>276</v>
      </c>
      <c r="C21" t="s">
        <v>277</v>
      </c>
      <c r="D21" s="10" t="s">
        <v>250</v>
      </c>
    </row>
    <row r="22" spans="1:4">
      <c r="A22" t="s">
        <v>243</v>
      </c>
      <c r="B22" t="s">
        <v>278</v>
      </c>
      <c r="C22" t="s">
        <v>279</v>
      </c>
      <c r="D22" t="s">
        <v>246</v>
      </c>
    </row>
    <row r="23" spans="1:4">
      <c r="A23" t="s">
        <v>243</v>
      </c>
      <c r="B23" t="s">
        <v>280</v>
      </c>
      <c r="C23" t="s">
        <v>279</v>
      </c>
      <c r="D23" t="s">
        <v>246</v>
      </c>
    </row>
    <row r="24" spans="1:4">
      <c r="A24" t="s">
        <v>243</v>
      </c>
      <c r="B24" t="s">
        <v>281</v>
      </c>
      <c r="C24" t="s">
        <v>282</v>
      </c>
      <c r="D24" s="10" t="s">
        <v>250</v>
      </c>
    </row>
    <row r="25" spans="1:4">
      <c r="A25" t="s">
        <v>243</v>
      </c>
      <c r="B25" t="s">
        <v>283</v>
      </c>
      <c r="C25" t="s">
        <v>283</v>
      </c>
      <c r="D25" s="10" t="s">
        <v>284</v>
      </c>
    </row>
    <row r="26" spans="1:4">
      <c r="A26" t="s">
        <v>243</v>
      </c>
      <c r="B26" t="s">
        <v>285</v>
      </c>
      <c r="C26" t="s">
        <v>286</v>
      </c>
      <c r="D26" t="s">
        <v>287</v>
      </c>
    </row>
    <row r="27" spans="1:4">
      <c r="A27" t="s">
        <v>243</v>
      </c>
      <c r="B27" t="s">
        <v>288</v>
      </c>
      <c r="C27" t="s">
        <v>286</v>
      </c>
      <c r="D27" t="s">
        <v>287</v>
      </c>
    </row>
    <row r="28" spans="1:4">
      <c r="A28" t="s">
        <v>243</v>
      </c>
      <c r="B28" t="s">
        <v>289</v>
      </c>
      <c r="C28" t="s">
        <v>290</v>
      </c>
      <c r="D28" s="10" t="s">
        <v>250</v>
      </c>
    </row>
    <row r="29" spans="1:4">
      <c r="A29" t="s">
        <v>243</v>
      </c>
      <c r="B29" t="s">
        <v>291</v>
      </c>
      <c r="C29" t="s">
        <v>290</v>
      </c>
      <c r="D29" s="10" t="s">
        <v>250</v>
      </c>
    </row>
    <row r="30" spans="1:4">
      <c r="A30" t="s">
        <v>243</v>
      </c>
      <c r="B30" t="s">
        <v>292</v>
      </c>
      <c r="C30" t="s">
        <v>293</v>
      </c>
      <c r="D30" t="s">
        <v>287</v>
      </c>
    </row>
    <row r="31" spans="1:4">
      <c r="A31" t="s">
        <v>243</v>
      </c>
      <c r="B31" t="s">
        <v>294</v>
      </c>
      <c r="C31" t="s">
        <v>293</v>
      </c>
      <c r="D31" t="s">
        <v>287</v>
      </c>
    </row>
    <row r="32" spans="1:4">
      <c r="A32" t="s">
        <v>243</v>
      </c>
      <c r="B32" t="s">
        <v>295</v>
      </c>
      <c r="C32" t="s">
        <v>296</v>
      </c>
      <c r="D32" s="10" t="s">
        <v>250</v>
      </c>
    </row>
    <row r="33" spans="1:4">
      <c r="A33" t="s">
        <v>243</v>
      </c>
      <c r="B33" t="s">
        <v>297</v>
      </c>
      <c r="C33" t="s">
        <v>296</v>
      </c>
      <c r="D33" s="10" t="s">
        <v>250</v>
      </c>
    </row>
    <row r="34" spans="1:4">
      <c r="A34" t="s">
        <v>243</v>
      </c>
      <c r="B34" t="s">
        <v>298</v>
      </c>
      <c r="C34" t="s">
        <v>299</v>
      </c>
      <c r="D34" t="s">
        <v>300</v>
      </c>
    </row>
    <row r="35" spans="1:4">
      <c r="A35" t="s">
        <v>243</v>
      </c>
      <c r="B35" t="s">
        <v>301</v>
      </c>
      <c r="C35" t="s">
        <v>302</v>
      </c>
      <c r="D35" s="10" t="s">
        <v>250</v>
      </c>
    </row>
    <row r="36" spans="1:4">
      <c r="A36" t="s">
        <v>243</v>
      </c>
      <c r="B36" t="s">
        <v>303</v>
      </c>
      <c r="C36" t="s">
        <v>304</v>
      </c>
      <c r="D36" t="s">
        <v>300</v>
      </c>
    </row>
    <row r="37" spans="1:4">
      <c r="A37" t="s">
        <v>243</v>
      </c>
      <c r="B37" t="s">
        <v>305</v>
      </c>
      <c r="C37" t="s">
        <v>304</v>
      </c>
      <c r="D37" t="s">
        <v>300</v>
      </c>
    </row>
    <row r="38" spans="1:4">
      <c r="A38" t="s">
        <v>243</v>
      </c>
      <c r="B38" t="s">
        <v>306</v>
      </c>
      <c r="C38" t="s">
        <v>307</v>
      </c>
      <c r="D38" s="10" t="s">
        <v>250</v>
      </c>
    </row>
    <row r="39" spans="1:4">
      <c r="A39" t="s">
        <v>243</v>
      </c>
      <c r="B39" t="s">
        <v>308</v>
      </c>
      <c r="C39" t="s">
        <v>309</v>
      </c>
      <c r="D39" t="s">
        <v>300</v>
      </c>
    </row>
    <row r="40" spans="1:4">
      <c r="A40" t="s">
        <v>243</v>
      </c>
      <c r="B40" t="s">
        <v>310</v>
      </c>
      <c r="C40" t="s">
        <v>311</v>
      </c>
      <c r="D40" s="10" t="s">
        <v>250</v>
      </c>
    </row>
    <row r="41" spans="1:4">
      <c r="A41" t="s">
        <v>243</v>
      </c>
      <c r="B41" t="s">
        <v>312</v>
      </c>
      <c r="C41" t="s">
        <v>313</v>
      </c>
      <c r="D41" t="s">
        <v>314</v>
      </c>
    </row>
    <row r="42" spans="1:4">
      <c r="A42" t="s">
        <v>243</v>
      </c>
      <c r="B42" t="s">
        <v>315</v>
      </c>
      <c r="C42" t="s">
        <v>316</v>
      </c>
      <c r="D42" s="10" t="s">
        <v>250</v>
      </c>
    </row>
    <row r="43" spans="1:4">
      <c r="A43" t="s">
        <v>243</v>
      </c>
      <c r="B43" t="s">
        <v>317</v>
      </c>
      <c r="C43" t="s">
        <v>318</v>
      </c>
      <c r="D43" t="s">
        <v>314</v>
      </c>
    </row>
    <row r="44" spans="1:4">
      <c r="A44" t="s">
        <v>243</v>
      </c>
      <c r="B44" t="s">
        <v>319</v>
      </c>
      <c r="C44" t="s">
        <v>320</v>
      </c>
      <c r="D44" s="10" t="s">
        <v>250</v>
      </c>
    </row>
    <row r="45" spans="1:4">
      <c r="A45" t="s">
        <v>243</v>
      </c>
      <c r="B45" t="s">
        <v>321</v>
      </c>
      <c r="C45" t="s">
        <v>322</v>
      </c>
      <c r="D45" t="s">
        <v>323</v>
      </c>
    </row>
    <row r="46" spans="1:4">
      <c r="A46" t="s">
        <v>243</v>
      </c>
      <c r="B46" t="s">
        <v>324</v>
      </c>
      <c r="C46" t="s">
        <v>325</v>
      </c>
      <c r="D46" s="10" t="s">
        <v>250</v>
      </c>
    </row>
    <row r="47" spans="1:4">
      <c r="A47" t="s">
        <v>243</v>
      </c>
      <c r="B47" t="s">
        <v>326</v>
      </c>
      <c r="C47" t="s">
        <v>325</v>
      </c>
      <c r="D47" s="10" t="s">
        <v>250</v>
      </c>
    </row>
    <row r="48" spans="1:4">
      <c r="A48" t="s">
        <v>243</v>
      </c>
      <c r="B48" t="s">
        <v>327</v>
      </c>
      <c r="C48" t="s">
        <v>328</v>
      </c>
      <c r="D48" t="s">
        <v>300</v>
      </c>
    </row>
    <row r="49" spans="1:4">
      <c r="A49" t="s">
        <v>243</v>
      </c>
      <c r="B49" t="s">
        <v>329</v>
      </c>
      <c r="C49" t="s">
        <v>328</v>
      </c>
      <c r="D49" t="s">
        <v>300</v>
      </c>
    </row>
    <row r="50" spans="1:4">
      <c r="A50" t="s">
        <v>243</v>
      </c>
      <c r="B50" t="s">
        <v>330</v>
      </c>
      <c r="C50" t="s">
        <v>331</v>
      </c>
      <c r="D50" s="10" t="s">
        <v>250</v>
      </c>
    </row>
    <row r="51" spans="1:4">
      <c r="A51" t="s">
        <v>243</v>
      </c>
      <c r="B51" t="s">
        <v>332</v>
      </c>
      <c r="C51" t="s">
        <v>333</v>
      </c>
      <c r="D51" t="s">
        <v>300</v>
      </c>
    </row>
    <row r="52" spans="1:4">
      <c r="A52" t="s">
        <v>243</v>
      </c>
      <c r="B52" t="s">
        <v>334</v>
      </c>
      <c r="C52" t="s">
        <v>335</v>
      </c>
      <c r="D52" s="10" t="s">
        <v>250</v>
      </c>
    </row>
    <row r="53" spans="1:4">
      <c r="A53" t="s">
        <v>243</v>
      </c>
      <c r="B53" t="s">
        <v>336</v>
      </c>
      <c r="C53" t="s">
        <v>335</v>
      </c>
      <c r="D53" s="10" t="s">
        <v>250</v>
      </c>
    </row>
    <row r="54" spans="1:4">
      <c r="A54" t="s">
        <v>243</v>
      </c>
      <c r="B54" t="s">
        <v>337</v>
      </c>
      <c r="C54" t="s">
        <v>338</v>
      </c>
      <c r="D54" t="s">
        <v>300</v>
      </c>
    </row>
    <row r="55" spans="1:4">
      <c r="A55" t="s">
        <v>243</v>
      </c>
      <c r="B55" t="s">
        <v>339</v>
      </c>
      <c r="C55" t="s">
        <v>340</v>
      </c>
      <c r="D55" s="10" t="s">
        <v>250</v>
      </c>
    </row>
    <row r="56" spans="1:4">
      <c r="A56" t="s">
        <v>243</v>
      </c>
      <c r="B56" t="s">
        <v>341</v>
      </c>
      <c r="C56" t="s">
        <v>342</v>
      </c>
      <c r="D56" t="s">
        <v>342</v>
      </c>
    </row>
    <row r="57" spans="1:4">
      <c r="A57" t="s">
        <v>243</v>
      </c>
      <c r="B57" t="s">
        <v>343</v>
      </c>
      <c r="C57" t="s">
        <v>344</v>
      </c>
      <c r="D57" t="s">
        <v>342</v>
      </c>
    </row>
    <row r="58" spans="1:4">
      <c r="A58" t="s">
        <v>243</v>
      </c>
      <c r="B58" t="s">
        <v>345</v>
      </c>
      <c r="C58" t="s">
        <v>346</v>
      </c>
      <c r="D58" t="s">
        <v>323</v>
      </c>
    </row>
    <row r="59" spans="1:4">
      <c r="A59" t="s">
        <v>243</v>
      </c>
      <c r="B59" t="s">
        <v>347</v>
      </c>
      <c r="C59" t="s">
        <v>348</v>
      </c>
      <c r="D59" s="10" t="s">
        <v>250</v>
      </c>
    </row>
    <row r="60" spans="1:4">
      <c r="A60" t="s">
        <v>243</v>
      </c>
      <c r="B60" t="s">
        <v>349</v>
      </c>
      <c r="C60" t="s">
        <v>348</v>
      </c>
      <c r="D60" s="10" t="s">
        <v>250</v>
      </c>
    </row>
    <row r="61" spans="1:4">
      <c r="A61" t="s">
        <v>243</v>
      </c>
      <c r="B61" t="s">
        <v>350</v>
      </c>
      <c r="C61" t="s">
        <v>351</v>
      </c>
      <c r="D61" t="s">
        <v>323</v>
      </c>
    </row>
    <row r="62" spans="1:4">
      <c r="A62" t="s">
        <v>243</v>
      </c>
      <c r="B62" t="s">
        <v>352</v>
      </c>
      <c r="C62" t="s">
        <v>351</v>
      </c>
      <c r="D62" t="s">
        <v>323</v>
      </c>
    </row>
    <row r="63" spans="1:4">
      <c r="A63" t="s">
        <v>243</v>
      </c>
      <c r="B63" t="s">
        <v>353</v>
      </c>
      <c r="C63" t="s">
        <v>354</v>
      </c>
      <c r="D63" s="10" t="s">
        <v>250</v>
      </c>
    </row>
    <row r="64" spans="1:4">
      <c r="A64" t="s">
        <v>243</v>
      </c>
      <c r="B64" t="s">
        <v>355</v>
      </c>
      <c r="C64" t="s">
        <v>356</v>
      </c>
      <c r="D64" t="s">
        <v>323</v>
      </c>
    </row>
    <row r="65" spans="1:4">
      <c r="A65" t="s">
        <v>243</v>
      </c>
      <c r="B65" t="s">
        <v>357</v>
      </c>
      <c r="C65" t="s">
        <v>356</v>
      </c>
      <c r="D65" t="s">
        <v>323</v>
      </c>
    </row>
    <row r="66" spans="1:4">
      <c r="A66" t="s">
        <v>243</v>
      </c>
      <c r="B66" t="s">
        <v>358</v>
      </c>
      <c r="C66" t="s">
        <v>359</v>
      </c>
      <c r="D66" s="10" t="s">
        <v>250</v>
      </c>
    </row>
    <row r="67" spans="1:4">
      <c r="A67" t="s">
        <v>243</v>
      </c>
      <c r="B67" t="s">
        <v>360</v>
      </c>
      <c r="C67" t="s">
        <v>359</v>
      </c>
      <c r="D67" s="10" t="s">
        <v>250</v>
      </c>
    </row>
    <row r="68" spans="1:4">
      <c r="A68" t="s">
        <v>243</v>
      </c>
      <c r="B68" t="s">
        <v>361</v>
      </c>
      <c r="C68" t="s">
        <v>362</v>
      </c>
      <c r="D68" s="10" t="s">
        <v>363</v>
      </c>
    </row>
    <row r="69" spans="1:4">
      <c r="A69" t="s">
        <v>243</v>
      </c>
      <c r="B69" t="s">
        <v>364</v>
      </c>
      <c r="C69" t="s">
        <v>365</v>
      </c>
      <c r="D69" s="10" t="s">
        <v>366</v>
      </c>
    </row>
    <row r="70" spans="1:4">
      <c r="A70" t="s">
        <v>243</v>
      </c>
      <c r="B70" t="s">
        <v>367</v>
      </c>
      <c r="C70" t="s">
        <v>365</v>
      </c>
      <c r="D70" s="10" t="s">
        <v>363</v>
      </c>
    </row>
    <row r="71" spans="1:4">
      <c r="A71" t="s">
        <v>368</v>
      </c>
      <c r="B71" t="s">
        <v>369</v>
      </c>
      <c r="C71" t="s">
        <v>370</v>
      </c>
    </row>
    <row r="72" spans="1:4">
      <c r="A72" t="s">
        <v>368</v>
      </c>
      <c r="B72" t="s">
        <v>371</v>
      </c>
      <c r="C72" t="s">
        <v>372</v>
      </c>
    </row>
    <row r="73" spans="1:4">
      <c r="A73" t="s">
        <v>368</v>
      </c>
      <c r="B73" t="s">
        <v>373</v>
      </c>
      <c r="C73" t="s">
        <v>372</v>
      </c>
    </row>
    <row r="74" spans="1:4">
      <c r="A74" t="s">
        <v>368</v>
      </c>
      <c r="B74" t="s">
        <v>374</v>
      </c>
      <c r="C74" t="s">
        <v>375</v>
      </c>
    </row>
    <row r="75" spans="1:4">
      <c r="A75" t="s">
        <v>368</v>
      </c>
      <c r="B75" t="s">
        <v>376</v>
      </c>
      <c r="C75" t="s">
        <v>375</v>
      </c>
    </row>
    <row r="76" spans="1:4">
      <c r="A76" t="s">
        <v>368</v>
      </c>
      <c r="B76" t="s">
        <v>377</v>
      </c>
      <c r="C76" t="s">
        <v>378</v>
      </c>
    </row>
    <row r="77" spans="1:4">
      <c r="A77" t="s">
        <v>368</v>
      </c>
      <c r="B77" t="s">
        <v>379</v>
      </c>
      <c r="C77" t="s">
        <v>378</v>
      </c>
    </row>
    <row r="78" spans="1:4">
      <c r="A78" t="s">
        <v>368</v>
      </c>
      <c r="B78" t="s">
        <v>380</v>
      </c>
      <c r="C78" t="s">
        <v>378</v>
      </c>
    </row>
    <row r="79" spans="1:4">
      <c r="A79" t="s">
        <v>368</v>
      </c>
      <c r="B79" t="s">
        <v>381</v>
      </c>
      <c r="C79" t="s">
        <v>378</v>
      </c>
    </row>
    <row r="80" spans="1:4">
      <c r="A80" t="s">
        <v>382</v>
      </c>
      <c r="B80" t="s">
        <v>383</v>
      </c>
      <c r="C80" t="s">
        <v>384</v>
      </c>
    </row>
    <row r="81" spans="1:3">
      <c r="A81" t="s">
        <v>382</v>
      </c>
      <c r="B81" t="s">
        <v>385</v>
      </c>
      <c r="C81" t="s">
        <v>386</v>
      </c>
    </row>
    <row r="82" spans="1:3">
      <c r="A82" t="s">
        <v>382</v>
      </c>
      <c r="B82" t="s">
        <v>387</v>
      </c>
      <c r="C82" t="s">
        <v>388</v>
      </c>
    </row>
    <row r="83" spans="1:3">
      <c r="A83" t="s">
        <v>382</v>
      </c>
      <c r="B83" t="s">
        <v>389</v>
      </c>
      <c r="C83" t="s">
        <v>390</v>
      </c>
    </row>
    <row r="84" spans="1:3">
      <c r="A84" t="s">
        <v>382</v>
      </c>
      <c r="B84" t="s">
        <v>391</v>
      </c>
      <c r="C84" t="s">
        <v>392</v>
      </c>
    </row>
    <row r="85" spans="1:3">
      <c r="A85" t="s">
        <v>393</v>
      </c>
      <c r="B85" t="s">
        <v>394</v>
      </c>
      <c r="C85" t="s">
        <v>395</v>
      </c>
    </row>
    <row r="86" spans="1:3">
      <c r="A86" t="s">
        <v>393</v>
      </c>
      <c r="B86" t="s">
        <v>396</v>
      </c>
      <c r="C86" t="s">
        <v>396</v>
      </c>
    </row>
    <row r="87" spans="1:3">
      <c r="A87" t="s">
        <v>393</v>
      </c>
      <c r="B87" t="s">
        <v>397</v>
      </c>
      <c r="C87" t="s">
        <v>397</v>
      </c>
    </row>
    <row r="88" spans="1:3">
      <c r="A88" t="s">
        <v>393</v>
      </c>
      <c r="B88" t="s">
        <v>398</v>
      </c>
      <c r="C88" t="s">
        <v>399</v>
      </c>
    </row>
    <row r="89" spans="1:3">
      <c r="A89" t="s">
        <v>393</v>
      </c>
      <c r="B89" t="s">
        <v>400</v>
      </c>
      <c r="C89" t="s">
        <v>401</v>
      </c>
    </row>
    <row r="90" spans="1:3" ht="15"/>
  </sheetData>
  <autoFilter ref="A1:D89" xr:uid="{00000000-0001-0000-0400-000000000000}"/>
  <pageMargins left="0.7" right="0.7" top="0.75" bottom="0.75" header="0.511811023622047" footer="0.511811023622047"/>
  <pageSetup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69"/>
  <sheetViews>
    <sheetView zoomScale="85" zoomScaleNormal="85" workbookViewId="0">
      <pane xSplit="4" ySplit="1" topLeftCell="E2" activePane="bottomRight" state="frozen"/>
      <selection pane="bottomRight"/>
      <selection pane="bottomLeft" activeCell="A2" sqref="A2"/>
      <selection pane="topRight" activeCell="E1" sqref="E1"/>
    </sheetView>
  </sheetViews>
  <sheetFormatPr defaultColWidth="9.140625" defaultRowHeight="14.45"/>
  <cols>
    <col min="1" max="1" width="16.7109375" customWidth="1"/>
    <col min="2" max="2" width="19" customWidth="1"/>
    <col min="4" max="4" width="17.140625" customWidth="1"/>
  </cols>
  <sheetData>
    <row r="1" spans="1:29" ht="57.95">
      <c r="A1" s="3" t="s">
        <v>402</v>
      </c>
      <c r="B1" s="3" t="s">
        <v>403</v>
      </c>
      <c r="C1" s="3" t="s">
        <v>404</v>
      </c>
      <c r="D1" s="3" t="s">
        <v>405</v>
      </c>
      <c r="E1" s="3" t="s">
        <v>406</v>
      </c>
      <c r="F1" s="3" t="s">
        <v>407</v>
      </c>
      <c r="G1" s="3" t="s">
        <v>408</v>
      </c>
      <c r="H1" s="3" t="s">
        <v>409</v>
      </c>
      <c r="I1" s="3" t="s">
        <v>410</v>
      </c>
      <c r="J1" s="3" t="s">
        <v>411</v>
      </c>
      <c r="K1" s="3" t="s">
        <v>412</v>
      </c>
      <c r="L1" s="3" t="s">
        <v>413</v>
      </c>
      <c r="M1" s="3" t="s">
        <v>414</v>
      </c>
      <c r="N1" s="3" t="s">
        <v>415</v>
      </c>
      <c r="O1" s="3" t="s">
        <v>416</v>
      </c>
      <c r="P1" s="3" t="s">
        <v>417</v>
      </c>
      <c r="Q1" s="3" t="s">
        <v>418</v>
      </c>
      <c r="R1" s="3" t="s">
        <v>419</v>
      </c>
      <c r="S1" s="3" t="s">
        <v>420</v>
      </c>
      <c r="T1" s="3" t="s">
        <v>421</v>
      </c>
      <c r="U1" s="3" t="s">
        <v>422</v>
      </c>
      <c r="V1" s="3" t="s">
        <v>423</v>
      </c>
      <c r="W1" s="3" t="s">
        <v>424</v>
      </c>
      <c r="X1" s="3" t="s">
        <v>425</v>
      </c>
      <c r="Y1" s="3" t="s">
        <v>426</v>
      </c>
      <c r="Z1" s="3" t="s">
        <v>427</v>
      </c>
      <c r="AA1" s="3" t="s">
        <v>428</v>
      </c>
      <c r="AB1" s="3" t="s">
        <v>429</v>
      </c>
      <c r="AC1" s="3"/>
    </row>
    <row r="2" spans="1:29" ht="29.1">
      <c r="A2" s="4" t="s">
        <v>342</v>
      </c>
      <c r="B2" s="5">
        <v>1</v>
      </c>
      <c r="C2" s="4" t="s">
        <v>342</v>
      </c>
      <c r="D2" s="4" t="s">
        <v>430</v>
      </c>
      <c r="E2" s="4" t="s">
        <v>431</v>
      </c>
      <c r="F2" s="5">
        <v>0.33</v>
      </c>
      <c r="G2" s="5">
        <v>0</v>
      </c>
      <c r="H2" s="5">
        <v>9</v>
      </c>
      <c r="I2" s="5">
        <v>12</v>
      </c>
      <c r="J2" s="5">
        <v>12</v>
      </c>
      <c r="K2" s="5">
        <v>14</v>
      </c>
      <c r="L2" s="5">
        <v>21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10.125</v>
      </c>
      <c r="T2" s="5">
        <v>36.722222219999999</v>
      </c>
      <c r="U2" s="5">
        <v>0.05</v>
      </c>
      <c r="V2" s="5">
        <v>7</v>
      </c>
      <c r="W2" s="5">
        <v>54</v>
      </c>
      <c r="X2" s="5">
        <v>0.15</v>
      </c>
      <c r="Y2" s="5">
        <v>0.4</v>
      </c>
      <c r="Z2" s="5">
        <v>0.05</v>
      </c>
      <c r="AA2" s="5">
        <v>0.05</v>
      </c>
      <c r="AB2" s="5">
        <v>0</v>
      </c>
      <c r="AC2" s="5"/>
    </row>
    <row r="3" spans="1:29" ht="29.1">
      <c r="A3" s="4" t="s">
        <v>344</v>
      </c>
      <c r="B3" s="5">
        <v>1</v>
      </c>
      <c r="C3" s="4" t="s">
        <v>342</v>
      </c>
      <c r="D3" s="4" t="s">
        <v>432</v>
      </c>
      <c r="E3" s="4" t="s">
        <v>431</v>
      </c>
      <c r="F3" s="5">
        <v>0.33</v>
      </c>
      <c r="G3" s="5">
        <v>0</v>
      </c>
      <c r="H3" s="5">
        <v>9</v>
      </c>
      <c r="I3" s="5">
        <v>12</v>
      </c>
      <c r="J3" s="5">
        <v>12</v>
      </c>
      <c r="K3" s="5">
        <v>14</v>
      </c>
      <c r="L3" s="5">
        <v>21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10.125</v>
      </c>
      <c r="T3" s="5">
        <v>36.722222219999999</v>
      </c>
      <c r="U3" s="5">
        <v>0.05</v>
      </c>
      <c r="V3" s="5">
        <v>7</v>
      </c>
      <c r="W3" s="5">
        <v>54</v>
      </c>
      <c r="X3" s="5">
        <v>0.15</v>
      </c>
      <c r="Y3" s="5">
        <v>0.4</v>
      </c>
      <c r="Z3" s="5">
        <v>0.05</v>
      </c>
      <c r="AA3" s="5">
        <v>0.05</v>
      </c>
      <c r="AB3" s="5">
        <v>0</v>
      </c>
      <c r="AC3" s="5"/>
    </row>
    <row r="4" spans="1:29" ht="29.1">
      <c r="A4" s="4" t="s">
        <v>304</v>
      </c>
      <c r="B4" s="5">
        <v>2</v>
      </c>
      <c r="C4" s="4" t="s">
        <v>433</v>
      </c>
      <c r="D4" s="4" t="s">
        <v>434</v>
      </c>
      <c r="E4" s="4" t="s">
        <v>435</v>
      </c>
      <c r="F4" s="5">
        <v>0.35</v>
      </c>
      <c r="G4" s="5">
        <v>94</v>
      </c>
      <c r="H4" s="5">
        <v>3.3</v>
      </c>
      <c r="I4" s="5">
        <v>8</v>
      </c>
      <c r="J4" s="5">
        <v>8</v>
      </c>
      <c r="K4" s="5">
        <v>18</v>
      </c>
      <c r="L4" s="5">
        <v>69.69</v>
      </c>
      <c r="M4" s="5">
        <v>21</v>
      </c>
      <c r="N4" s="5">
        <v>93.97</v>
      </c>
      <c r="O4" s="5">
        <v>10.5</v>
      </c>
      <c r="P4" s="5">
        <v>49.33</v>
      </c>
      <c r="Q4" s="5">
        <v>12</v>
      </c>
      <c r="R4" s="5">
        <v>72</v>
      </c>
      <c r="S4" s="5">
        <v>29.972222219999999</v>
      </c>
      <c r="T4" s="5">
        <v>6.4468253969999996</v>
      </c>
      <c r="U4" s="5">
        <v>0.1</v>
      </c>
      <c r="V4" s="5">
        <v>1</v>
      </c>
      <c r="W4" s="5">
        <v>27</v>
      </c>
      <c r="X4" s="5">
        <v>0.15</v>
      </c>
      <c r="Y4" s="5">
        <v>0.4</v>
      </c>
      <c r="Z4" s="5">
        <v>0.02</v>
      </c>
      <c r="AA4" s="5">
        <v>0.05</v>
      </c>
      <c r="AB4" s="5">
        <v>0</v>
      </c>
      <c r="AC4" s="5"/>
    </row>
    <row r="5" spans="1:29" ht="29.1">
      <c r="A5" s="4" t="s">
        <v>307</v>
      </c>
      <c r="B5" s="5">
        <v>2</v>
      </c>
      <c r="C5" s="4" t="s">
        <v>433</v>
      </c>
      <c r="D5" s="4" t="s">
        <v>434</v>
      </c>
      <c r="E5" s="4" t="s">
        <v>435</v>
      </c>
      <c r="F5" s="5">
        <v>0.35</v>
      </c>
      <c r="G5" s="5">
        <v>94</v>
      </c>
      <c r="H5" s="5">
        <v>3.3</v>
      </c>
      <c r="I5" s="5">
        <v>8</v>
      </c>
      <c r="J5" s="5">
        <v>8</v>
      </c>
      <c r="K5" s="5">
        <v>18</v>
      </c>
      <c r="L5" s="5">
        <v>69.69</v>
      </c>
      <c r="M5" s="5">
        <v>21</v>
      </c>
      <c r="N5" s="5">
        <v>93.97</v>
      </c>
      <c r="O5" s="5">
        <v>10.5</v>
      </c>
      <c r="P5" s="5">
        <v>49.33</v>
      </c>
      <c r="Q5" s="5">
        <v>12</v>
      </c>
      <c r="R5" s="5">
        <v>72</v>
      </c>
      <c r="S5" s="5">
        <v>29.972222219999999</v>
      </c>
      <c r="T5" s="5">
        <v>6.4468253969999996</v>
      </c>
      <c r="U5" s="5">
        <v>0.1</v>
      </c>
      <c r="V5" s="5">
        <v>1</v>
      </c>
      <c r="W5" s="5">
        <v>27</v>
      </c>
      <c r="X5" s="5">
        <v>0.15</v>
      </c>
      <c r="Y5" s="5">
        <v>0.4</v>
      </c>
      <c r="Z5" s="5">
        <v>0.02</v>
      </c>
      <c r="AA5" s="5">
        <v>0.05</v>
      </c>
      <c r="AB5" s="5">
        <v>0</v>
      </c>
      <c r="AC5" s="5"/>
    </row>
    <row r="6" spans="1:29" ht="29.1">
      <c r="A6" s="4" t="s">
        <v>309</v>
      </c>
      <c r="B6" s="5">
        <v>3</v>
      </c>
      <c r="C6" s="4" t="s">
        <v>433</v>
      </c>
      <c r="D6" s="4" t="s">
        <v>436</v>
      </c>
      <c r="E6" s="4" t="s">
        <v>437</v>
      </c>
      <c r="F6" s="5">
        <v>0.4</v>
      </c>
      <c r="G6" s="5">
        <v>94</v>
      </c>
      <c r="H6" s="5">
        <v>3.3</v>
      </c>
      <c r="I6" s="5">
        <v>6</v>
      </c>
      <c r="J6" s="5">
        <v>6</v>
      </c>
      <c r="K6" s="5">
        <v>18</v>
      </c>
      <c r="L6" s="5">
        <v>50.12</v>
      </c>
      <c r="M6" s="5">
        <v>21</v>
      </c>
      <c r="N6" s="5">
        <v>81.44</v>
      </c>
      <c r="O6" s="5">
        <v>10.5</v>
      </c>
      <c r="P6" s="5">
        <v>42.29</v>
      </c>
      <c r="Q6" s="5">
        <v>12</v>
      </c>
      <c r="R6" s="5">
        <v>72</v>
      </c>
      <c r="S6" s="5">
        <v>3.3333333E-2</v>
      </c>
      <c r="T6" s="5">
        <v>3.2319444439999998</v>
      </c>
      <c r="U6" s="5">
        <v>0.1</v>
      </c>
      <c r="V6" s="5">
        <v>1</v>
      </c>
      <c r="W6" s="5">
        <v>27</v>
      </c>
      <c r="X6" s="5">
        <v>0.15</v>
      </c>
      <c r="Y6" s="5">
        <v>0.4</v>
      </c>
      <c r="Z6" s="5">
        <v>0.02</v>
      </c>
      <c r="AA6" s="5">
        <v>0.05</v>
      </c>
      <c r="AB6" s="5">
        <v>0</v>
      </c>
      <c r="AC6" s="5"/>
    </row>
    <row r="7" spans="1:29" ht="29.1">
      <c r="A7" s="4" t="s">
        <v>311</v>
      </c>
      <c r="B7" s="5">
        <v>3</v>
      </c>
      <c r="C7" s="4" t="s">
        <v>433</v>
      </c>
      <c r="D7" s="4" t="s">
        <v>436</v>
      </c>
      <c r="E7" s="4" t="s">
        <v>437</v>
      </c>
      <c r="F7" s="5">
        <v>0.4</v>
      </c>
      <c r="G7" s="5">
        <v>94</v>
      </c>
      <c r="H7" s="5">
        <v>3.3</v>
      </c>
      <c r="I7" s="5">
        <v>6</v>
      </c>
      <c r="J7" s="5">
        <v>6</v>
      </c>
      <c r="K7" s="5">
        <v>18</v>
      </c>
      <c r="L7" s="5">
        <v>50.12</v>
      </c>
      <c r="M7" s="5">
        <v>21</v>
      </c>
      <c r="N7" s="5">
        <v>81.44</v>
      </c>
      <c r="O7" s="5">
        <v>10.5</v>
      </c>
      <c r="P7" s="5">
        <v>42.29</v>
      </c>
      <c r="Q7" s="5">
        <v>12</v>
      </c>
      <c r="R7" s="5">
        <v>72</v>
      </c>
      <c r="S7" s="5">
        <v>3.3333333E-2</v>
      </c>
      <c r="T7" s="5">
        <v>3.2319444439999998</v>
      </c>
      <c r="U7" s="5">
        <v>0.1</v>
      </c>
      <c r="V7" s="5">
        <v>1</v>
      </c>
      <c r="W7" s="5">
        <v>27</v>
      </c>
      <c r="X7" s="5">
        <v>0.15</v>
      </c>
      <c r="Y7" s="5">
        <v>0.4</v>
      </c>
      <c r="Z7" s="5">
        <v>0.02</v>
      </c>
      <c r="AA7" s="5">
        <v>0.05</v>
      </c>
      <c r="AB7" s="5">
        <v>0</v>
      </c>
      <c r="AC7" s="5"/>
    </row>
    <row r="8" spans="1:29" ht="29.1">
      <c r="A8" s="4" t="s">
        <v>299</v>
      </c>
      <c r="B8" s="5">
        <v>4</v>
      </c>
      <c r="C8" s="4" t="s">
        <v>433</v>
      </c>
      <c r="D8" s="4" t="s">
        <v>438</v>
      </c>
      <c r="E8" s="4" t="s">
        <v>439</v>
      </c>
      <c r="F8" s="5">
        <v>0.46</v>
      </c>
      <c r="G8" s="5">
        <v>94</v>
      </c>
      <c r="H8" s="5">
        <v>3.3</v>
      </c>
      <c r="I8" s="5">
        <v>5</v>
      </c>
      <c r="J8" s="5">
        <v>5</v>
      </c>
      <c r="K8" s="5">
        <v>18</v>
      </c>
      <c r="L8" s="5">
        <v>42.29</v>
      </c>
      <c r="M8" s="5">
        <v>21</v>
      </c>
      <c r="N8" s="5">
        <v>57.17</v>
      </c>
      <c r="O8" s="5">
        <v>10.5</v>
      </c>
      <c r="P8" s="5">
        <v>30.54</v>
      </c>
      <c r="Q8" s="5">
        <v>12</v>
      </c>
      <c r="R8" s="5">
        <v>72</v>
      </c>
      <c r="S8" s="5">
        <v>6.6666666999999999E-2</v>
      </c>
      <c r="T8" s="5">
        <v>2.596666667</v>
      </c>
      <c r="U8" s="5">
        <v>7.4999999999999997E-2</v>
      </c>
      <c r="V8" s="5">
        <v>1</v>
      </c>
      <c r="W8" s="5">
        <v>27</v>
      </c>
      <c r="X8" s="5">
        <v>0.15</v>
      </c>
      <c r="Y8" s="5">
        <v>0.25</v>
      </c>
      <c r="Z8" s="5">
        <v>0.04</v>
      </c>
      <c r="AA8" s="5">
        <v>0.05</v>
      </c>
      <c r="AB8" s="5">
        <v>0</v>
      </c>
      <c r="AC8" s="5"/>
    </row>
    <row r="9" spans="1:29" ht="29.1">
      <c r="A9" s="4" t="s">
        <v>302</v>
      </c>
      <c r="B9" s="5">
        <v>4</v>
      </c>
      <c r="C9" s="4" t="s">
        <v>433</v>
      </c>
      <c r="D9" s="4" t="s">
        <v>438</v>
      </c>
      <c r="E9" s="4" t="s">
        <v>439</v>
      </c>
      <c r="F9" s="5">
        <v>0.46</v>
      </c>
      <c r="G9" s="5">
        <v>94</v>
      </c>
      <c r="H9" s="5">
        <v>3.3</v>
      </c>
      <c r="I9" s="5">
        <v>5</v>
      </c>
      <c r="J9" s="5">
        <v>5</v>
      </c>
      <c r="K9" s="5">
        <v>18</v>
      </c>
      <c r="L9" s="5">
        <v>42.29</v>
      </c>
      <c r="M9" s="5">
        <v>21</v>
      </c>
      <c r="N9" s="5">
        <v>57.17</v>
      </c>
      <c r="O9" s="5">
        <v>10.5</v>
      </c>
      <c r="P9" s="5">
        <v>30.54</v>
      </c>
      <c r="Q9" s="5">
        <v>12</v>
      </c>
      <c r="R9" s="5">
        <v>72</v>
      </c>
      <c r="S9" s="5">
        <v>6.6666666999999999E-2</v>
      </c>
      <c r="T9" s="5">
        <v>2.596666667</v>
      </c>
      <c r="U9" s="5">
        <v>7.4999999999999997E-2</v>
      </c>
      <c r="V9" s="5">
        <v>1</v>
      </c>
      <c r="W9" s="5">
        <v>27</v>
      </c>
      <c r="X9" s="5">
        <v>0.15</v>
      </c>
      <c r="Y9" s="5">
        <v>0.25</v>
      </c>
      <c r="Z9" s="5">
        <v>0.04</v>
      </c>
      <c r="AA9" s="5">
        <v>0.05</v>
      </c>
      <c r="AB9" s="5">
        <v>0</v>
      </c>
      <c r="AC9" s="5"/>
    </row>
    <row r="10" spans="1:29" ht="29.1">
      <c r="A10" s="4" t="s">
        <v>333</v>
      </c>
      <c r="B10" s="5">
        <v>6</v>
      </c>
      <c r="C10" s="4" t="s">
        <v>440</v>
      </c>
      <c r="D10" s="4" t="s">
        <v>434</v>
      </c>
      <c r="E10" s="4" t="s">
        <v>435</v>
      </c>
      <c r="F10" s="5">
        <v>0.35</v>
      </c>
      <c r="G10" s="5">
        <v>101</v>
      </c>
      <c r="H10" s="5">
        <v>3.3</v>
      </c>
      <c r="I10" s="5">
        <v>11</v>
      </c>
      <c r="J10" s="5">
        <v>11</v>
      </c>
      <c r="K10" s="5">
        <v>18</v>
      </c>
      <c r="L10" s="5">
        <v>69.69</v>
      </c>
      <c r="M10" s="5">
        <v>21</v>
      </c>
      <c r="N10" s="5">
        <v>93.97</v>
      </c>
      <c r="O10" s="5">
        <v>10.5</v>
      </c>
      <c r="P10" s="5">
        <v>49.33</v>
      </c>
      <c r="Q10" s="5">
        <v>12</v>
      </c>
      <c r="R10" s="5">
        <v>72</v>
      </c>
      <c r="S10" s="5">
        <v>14.58449074</v>
      </c>
      <c r="T10" s="5">
        <v>5.5766989220000003</v>
      </c>
      <c r="U10" s="5">
        <v>0.1</v>
      </c>
      <c r="V10" s="5">
        <v>1</v>
      </c>
      <c r="W10" s="5">
        <v>27</v>
      </c>
      <c r="X10" s="5">
        <v>0.15</v>
      </c>
      <c r="Y10" s="5">
        <v>0.5</v>
      </c>
      <c r="Z10" s="5">
        <v>0.02</v>
      </c>
      <c r="AA10" s="5">
        <v>0.05</v>
      </c>
      <c r="AB10" s="5">
        <v>0</v>
      </c>
      <c r="AC10" s="5"/>
    </row>
    <row r="11" spans="1:29" ht="29.1">
      <c r="A11" s="4" t="s">
        <v>335</v>
      </c>
      <c r="B11" s="5">
        <v>6</v>
      </c>
      <c r="C11" s="4" t="s">
        <v>440</v>
      </c>
      <c r="D11" s="4" t="s">
        <v>434</v>
      </c>
      <c r="E11" s="4" t="s">
        <v>435</v>
      </c>
      <c r="F11" s="5">
        <v>0.35</v>
      </c>
      <c r="G11" s="5">
        <v>101</v>
      </c>
      <c r="H11" s="5">
        <v>3.3</v>
      </c>
      <c r="I11" s="5">
        <v>11</v>
      </c>
      <c r="J11" s="5">
        <v>11</v>
      </c>
      <c r="K11" s="5">
        <v>18</v>
      </c>
      <c r="L11" s="5">
        <v>69.69</v>
      </c>
      <c r="M11" s="5">
        <v>21</v>
      </c>
      <c r="N11" s="5">
        <v>93.97</v>
      </c>
      <c r="O11" s="5">
        <v>10.5</v>
      </c>
      <c r="P11" s="5">
        <v>49.33</v>
      </c>
      <c r="Q11" s="5">
        <v>12</v>
      </c>
      <c r="R11" s="5">
        <v>72</v>
      </c>
      <c r="S11" s="5">
        <v>14.58449074</v>
      </c>
      <c r="T11" s="5">
        <v>5.5766989220000003</v>
      </c>
      <c r="U11" s="5">
        <v>0.1</v>
      </c>
      <c r="V11" s="5">
        <v>1</v>
      </c>
      <c r="W11" s="5">
        <v>27</v>
      </c>
      <c r="X11" s="5">
        <v>0.15</v>
      </c>
      <c r="Y11" s="5">
        <v>0.5</v>
      </c>
      <c r="Z11" s="5">
        <v>0.02</v>
      </c>
      <c r="AA11" s="5">
        <v>0.05</v>
      </c>
      <c r="AB11" s="5">
        <v>0</v>
      </c>
      <c r="AC11" s="5"/>
    </row>
    <row r="12" spans="1:29" ht="29.1">
      <c r="A12" s="4" t="s">
        <v>338</v>
      </c>
      <c r="B12" s="5">
        <v>7</v>
      </c>
      <c r="C12" s="4" t="s">
        <v>440</v>
      </c>
      <c r="D12" s="4" t="s">
        <v>436</v>
      </c>
      <c r="E12" s="4" t="s">
        <v>437</v>
      </c>
      <c r="F12" s="5">
        <v>0.4</v>
      </c>
      <c r="G12" s="5">
        <v>101</v>
      </c>
      <c r="H12" s="5">
        <v>3.3</v>
      </c>
      <c r="I12" s="5">
        <v>9</v>
      </c>
      <c r="J12" s="5">
        <v>9</v>
      </c>
      <c r="K12" s="5">
        <v>18</v>
      </c>
      <c r="L12" s="5">
        <v>50.12</v>
      </c>
      <c r="M12" s="5">
        <v>21</v>
      </c>
      <c r="N12" s="5">
        <v>81.44</v>
      </c>
      <c r="O12" s="5">
        <v>10.5</v>
      </c>
      <c r="P12" s="5">
        <v>42.29</v>
      </c>
      <c r="Q12" s="5">
        <v>12</v>
      </c>
      <c r="R12" s="5">
        <v>72</v>
      </c>
      <c r="S12" s="5">
        <v>19.26923077</v>
      </c>
      <c r="T12" s="5">
        <v>6.5945</v>
      </c>
      <c r="U12" s="5">
        <v>0.1</v>
      </c>
      <c r="V12" s="5">
        <v>1</v>
      </c>
      <c r="W12" s="5">
        <v>27</v>
      </c>
      <c r="X12" s="5">
        <v>0.15</v>
      </c>
      <c r="Y12" s="5">
        <v>0.5</v>
      </c>
      <c r="Z12" s="5">
        <v>0.02</v>
      </c>
      <c r="AA12" s="5">
        <v>0.05</v>
      </c>
      <c r="AB12" s="5">
        <v>0</v>
      </c>
      <c r="AC12" s="5"/>
    </row>
    <row r="13" spans="1:29" ht="29.1">
      <c r="A13" s="4" t="s">
        <v>340</v>
      </c>
      <c r="B13" s="5">
        <v>7</v>
      </c>
      <c r="C13" s="4" t="s">
        <v>440</v>
      </c>
      <c r="D13" s="4" t="s">
        <v>436</v>
      </c>
      <c r="E13" s="4" t="s">
        <v>437</v>
      </c>
      <c r="F13" s="5">
        <v>0.4</v>
      </c>
      <c r="G13" s="5">
        <v>101</v>
      </c>
      <c r="H13" s="5">
        <v>3.3</v>
      </c>
      <c r="I13" s="5">
        <v>9</v>
      </c>
      <c r="J13" s="5">
        <v>9</v>
      </c>
      <c r="K13" s="5">
        <v>18</v>
      </c>
      <c r="L13" s="5">
        <v>50.12</v>
      </c>
      <c r="M13" s="5">
        <v>21</v>
      </c>
      <c r="N13" s="5">
        <v>81.44</v>
      </c>
      <c r="O13" s="5">
        <v>10.5</v>
      </c>
      <c r="P13" s="5">
        <v>42.29</v>
      </c>
      <c r="Q13" s="5">
        <v>12</v>
      </c>
      <c r="R13" s="5">
        <v>72</v>
      </c>
      <c r="S13" s="5">
        <v>19.26923077</v>
      </c>
      <c r="T13" s="5">
        <v>6.5945</v>
      </c>
      <c r="U13" s="5">
        <v>0.1</v>
      </c>
      <c r="V13" s="5">
        <v>1</v>
      </c>
      <c r="W13" s="5">
        <v>27</v>
      </c>
      <c r="X13" s="5">
        <v>0.15</v>
      </c>
      <c r="Y13" s="5">
        <v>0.5</v>
      </c>
      <c r="Z13" s="5">
        <v>0.02</v>
      </c>
      <c r="AA13" s="5">
        <v>0.05</v>
      </c>
      <c r="AB13" s="5">
        <v>0</v>
      </c>
      <c r="AC13" s="5"/>
    </row>
    <row r="14" spans="1:29" ht="29.1">
      <c r="A14" s="4" t="s">
        <v>328</v>
      </c>
      <c r="B14" s="5">
        <v>8</v>
      </c>
      <c r="C14" s="4" t="s">
        <v>440</v>
      </c>
      <c r="D14" s="4" t="s">
        <v>438</v>
      </c>
      <c r="E14" s="4" t="s">
        <v>439</v>
      </c>
      <c r="F14" s="5">
        <v>0.46</v>
      </c>
      <c r="G14" s="5">
        <v>101</v>
      </c>
      <c r="H14" s="5">
        <v>3.3</v>
      </c>
      <c r="I14" s="5">
        <v>8</v>
      </c>
      <c r="J14" s="5">
        <v>8</v>
      </c>
      <c r="K14" s="5">
        <v>18</v>
      </c>
      <c r="L14" s="5">
        <v>42.29</v>
      </c>
      <c r="M14" s="5">
        <v>21</v>
      </c>
      <c r="N14" s="5">
        <v>57.17</v>
      </c>
      <c r="O14" s="5">
        <v>10.5</v>
      </c>
      <c r="P14" s="5">
        <v>30.54</v>
      </c>
      <c r="Q14" s="5">
        <v>12</v>
      </c>
      <c r="R14" s="5">
        <v>72</v>
      </c>
      <c r="S14" s="5">
        <v>25.333333329999999</v>
      </c>
      <c r="T14" s="5">
        <v>5.0057541710000004</v>
      </c>
      <c r="U14" s="5">
        <v>7.4999999999999997E-2</v>
      </c>
      <c r="V14" s="5">
        <v>1</v>
      </c>
      <c r="W14" s="5">
        <v>27</v>
      </c>
      <c r="X14" s="5">
        <v>0.15</v>
      </c>
      <c r="Y14" s="5">
        <v>0.5</v>
      </c>
      <c r="Z14" s="5">
        <v>0.02</v>
      </c>
      <c r="AA14" s="5">
        <v>0.05</v>
      </c>
      <c r="AB14" s="5">
        <v>0</v>
      </c>
      <c r="AC14" s="5"/>
    </row>
    <row r="15" spans="1:29" ht="29.1">
      <c r="A15" s="4" t="s">
        <v>331</v>
      </c>
      <c r="B15" s="5">
        <v>8</v>
      </c>
      <c r="C15" s="4" t="s">
        <v>440</v>
      </c>
      <c r="D15" s="4" t="s">
        <v>438</v>
      </c>
      <c r="E15" s="4" t="s">
        <v>439</v>
      </c>
      <c r="F15" s="5">
        <v>0.46</v>
      </c>
      <c r="G15" s="5">
        <v>101</v>
      </c>
      <c r="H15" s="5">
        <v>3.3</v>
      </c>
      <c r="I15" s="5">
        <v>8</v>
      </c>
      <c r="J15" s="5">
        <v>8</v>
      </c>
      <c r="K15" s="5">
        <v>18</v>
      </c>
      <c r="L15" s="5">
        <v>42.29</v>
      </c>
      <c r="M15" s="5">
        <v>21</v>
      </c>
      <c r="N15" s="5">
        <v>57.17</v>
      </c>
      <c r="O15" s="5">
        <v>10.5</v>
      </c>
      <c r="P15" s="5">
        <v>30.54</v>
      </c>
      <c r="Q15" s="5">
        <v>12</v>
      </c>
      <c r="R15" s="5">
        <v>72</v>
      </c>
      <c r="S15" s="5">
        <v>25.333333329999999</v>
      </c>
      <c r="T15" s="5">
        <v>5.0057541710000004</v>
      </c>
      <c r="U15" s="5">
        <v>7.4999999999999997E-2</v>
      </c>
      <c r="V15" s="5">
        <v>1</v>
      </c>
      <c r="W15" s="5">
        <v>27</v>
      </c>
      <c r="X15" s="5">
        <v>0.15</v>
      </c>
      <c r="Y15" s="5">
        <v>0.5</v>
      </c>
      <c r="Z15" s="5">
        <v>0.02</v>
      </c>
      <c r="AA15" s="5">
        <v>0.05</v>
      </c>
      <c r="AB15" s="5">
        <v>0</v>
      </c>
      <c r="AC15" s="5"/>
    </row>
    <row r="16" spans="1:29" ht="29.1">
      <c r="A16" s="4" t="s">
        <v>286</v>
      </c>
      <c r="B16" s="5">
        <v>10</v>
      </c>
      <c r="C16" s="4" t="s">
        <v>441</v>
      </c>
      <c r="D16" s="4" t="s">
        <v>442</v>
      </c>
      <c r="E16" s="4" t="s">
        <v>443</v>
      </c>
      <c r="F16" s="5">
        <v>0.36</v>
      </c>
      <c r="G16" s="5">
        <v>57</v>
      </c>
      <c r="H16" s="5">
        <v>1.1000000000000001</v>
      </c>
      <c r="I16" s="5">
        <v>5</v>
      </c>
      <c r="J16" s="5">
        <v>5</v>
      </c>
      <c r="K16" s="5">
        <v>7.6</v>
      </c>
      <c r="L16" s="5">
        <v>68.13</v>
      </c>
      <c r="M16" s="5">
        <v>9.6999999999999993</v>
      </c>
      <c r="N16" s="5">
        <v>69.69</v>
      </c>
      <c r="O16" s="5">
        <v>4.0999999999999996</v>
      </c>
      <c r="P16" s="5">
        <v>32.89</v>
      </c>
      <c r="Q16" s="5">
        <v>8</v>
      </c>
      <c r="R16" s="5">
        <v>48</v>
      </c>
      <c r="S16" s="5">
        <v>30.571895420000001</v>
      </c>
      <c r="T16" s="5">
        <v>6.0333333329999999</v>
      </c>
      <c r="U16" s="5">
        <v>0.08</v>
      </c>
      <c r="V16" s="5">
        <v>1</v>
      </c>
      <c r="W16" s="5">
        <v>27</v>
      </c>
      <c r="X16" s="5">
        <v>0.15</v>
      </c>
      <c r="Y16" s="5">
        <v>0.2</v>
      </c>
      <c r="Z16" s="5">
        <v>0.15</v>
      </c>
      <c r="AA16" s="5">
        <v>0.15</v>
      </c>
      <c r="AB16" s="5">
        <v>0</v>
      </c>
      <c r="AC16" s="5"/>
    </row>
    <row r="17" spans="1:29" ht="29.1">
      <c r="A17" s="4" t="s">
        <v>290</v>
      </c>
      <c r="B17" s="5">
        <v>10</v>
      </c>
      <c r="C17" s="4" t="s">
        <v>441</v>
      </c>
      <c r="D17" s="4" t="s">
        <v>442</v>
      </c>
      <c r="E17" s="4" t="s">
        <v>443</v>
      </c>
      <c r="F17" s="5">
        <v>0.36</v>
      </c>
      <c r="G17" s="5">
        <v>57</v>
      </c>
      <c r="H17" s="5">
        <v>1.1000000000000001</v>
      </c>
      <c r="I17" s="5">
        <v>5</v>
      </c>
      <c r="J17" s="5">
        <v>5</v>
      </c>
      <c r="K17" s="5">
        <v>7.6</v>
      </c>
      <c r="L17" s="5">
        <v>68.13</v>
      </c>
      <c r="M17" s="5">
        <v>9.6999999999999993</v>
      </c>
      <c r="N17" s="5">
        <v>69.69</v>
      </c>
      <c r="O17" s="5">
        <v>4.0999999999999996</v>
      </c>
      <c r="P17" s="5">
        <v>32.89</v>
      </c>
      <c r="Q17" s="5">
        <v>8</v>
      </c>
      <c r="R17" s="5">
        <v>48</v>
      </c>
      <c r="S17" s="5">
        <v>30.571895420000001</v>
      </c>
      <c r="T17" s="5">
        <v>6.0333333329999999</v>
      </c>
      <c r="U17" s="5">
        <v>0.08</v>
      </c>
      <c r="V17" s="5">
        <v>1</v>
      </c>
      <c r="W17" s="5">
        <v>27</v>
      </c>
      <c r="X17" s="5">
        <v>0.15</v>
      </c>
      <c r="Y17" s="5">
        <v>0.2</v>
      </c>
      <c r="Z17" s="5">
        <v>0.15</v>
      </c>
      <c r="AA17" s="5">
        <v>0.15</v>
      </c>
      <c r="AB17" s="5">
        <v>0</v>
      </c>
      <c r="AC17" s="5"/>
    </row>
    <row r="18" spans="1:29" ht="29.1">
      <c r="A18" s="4" t="s">
        <v>293</v>
      </c>
      <c r="B18" s="5">
        <v>11</v>
      </c>
      <c r="C18" s="4" t="s">
        <v>441</v>
      </c>
      <c r="D18" s="4" t="s">
        <v>444</v>
      </c>
      <c r="E18" s="4" t="s">
        <v>445</v>
      </c>
      <c r="F18" s="5">
        <v>0.41</v>
      </c>
      <c r="G18" s="5">
        <v>57</v>
      </c>
      <c r="H18" s="5">
        <v>1.1000000000000001</v>
      </c>
      <c r="I18" s="5">
        <v>5</v>
      </c>
      <c r="J18" s="5">
        <v>5</v>
      </c>
      <c r="K18" s="5">
        <v>7.6</v>
      </c>
      <c r="L18" s="5">
        <v>45.42</v>
      </c>
      <c r="M18" s="5">
        <v>9.6999999999999993</v>
      </c>
      <c r="N18" s="5">
        <v>58.73</v>
      </c>
      <c r="O18" s="5">
        <v>4.0999999999999996</v>
      </c>
      <c r="P18" s="5">
        <v>28.19</v>
      </c>
      <c r="Q18" s="5">
        <v>8</v>
      </c>
      <c r="R18" s="5">
        <v>48</v>
      </c>
      <c r="S18" s="5">
        <v>0</v>
      </c>
      <c r="T18" s="5">
        <v>0</v>
      </c>
      <c r="U18" s="5">
        <v>0.08</v>
      </c>
      <c r="V18" s="5">
        <v>1</v>
      </c>
      <c r="W18" s="5">
        <v>27</v>
      </c>
      <c r="X18" s="5">
        <v>0.15</v>
      </c>
      <c r="Y18" s="5">
        <v>0.2</v>
      </c>
      <c r="Z18" s="5">
        <v>0.15</v>
      </c>
      <c r="AA18" s="5">
        <v>0.15</v>
      </c>
      <c r="AB18" s="5">
        <v>0</v>
      </c>
      <c r="AC18" s="5"/>
    </row>
    <row r="19" spans="1:29" ht="29.1">
      <c r="A19" s="4" t="s">
        <v>296</v>
      </c>
      <c r="B19" s="5">
        <v>11</v>
      </c>
      <c r="C19" s="4" t="s">
        <v>441</v>
      </c>
      <c r="D19" s="4" t="s">
        <v>444</v>
      </c>
      <c r="E19" s="4" t="s">
        <v>445</v>
      </c>
      <c r="F19" s="5">
        <v>0.41</v>
      </c>
      <c r="G19" s="5">
        <v>57</v>
      </c>
      <c r="H19" s="5">
        <v>1.1000000000000001</v>
      </c>
      <c r="I19" s="5">
        <v>5</v>
      </c>
      <c r="J19" s="5">
        <v>5</v>
      </c>
      <c r="K19" s="5">
        <v>7.6</v>
      </c>
      <c r="L19" s="5">
        <v>45.42</v>
      </c>
      <c r="M19" s="5">
        <v>9.6999999999999993</v>
      </c>
      <c r="N19" s="5">
        <v>58.73</v>
      </c>
      <c r="O19" s="5">
        <v>4.0999999999999996</v>
      </c>
      <c r="P19" s="5">
        <v>28.19</v>
      </c>
      <c r="Q19" s="5">
        <v>8</v>
      </c>
      <c r="R19" s="5">
        <v>48</v>
      </c>
      <c r="S19" s="5">
        <v>0</v>
      </c>
      <c r="T19" s="5">
        <v>0</v>
      </c>
      <c r="U19" s="5">
        <v>0.08</v>
      </c>
      <c r="V19" s="5">
        <v>1</v>
      </c>
      <c r="W19" s="5">
        <v>27</v>
      </c>
      <c r="X19" s="5">
        <v>0.15</v>
      </c>
      <c r="Y19" s="5">
        <v>0.2</v>
      </c>
      <c r="Z19" s="5">
        <v>0.15</v>
      </c>
      <c r="AA19" s="5">
        <v>0.15</v>
      </c>
      <c r="AB19" s="5">
        <v>0</v>
      </c>
      <c r="AC19" s="5"/>
    </row>
    <row r="20" spans="1:29" ht="29.1">
      <c r="A20" s="4" t="s">
        <v>263</v>
      </c>
      <c r="B20" s="5">
        <v>12</v>
      </c>
      <c r="C20" s="4" t="s">
        <v>441</v>
      </c>
      <c r="D20" s="4" t="s">
        <v>263</v>
      </c>
      <c r="E20" s="4" t="s">
        <v>446</v>
      </c>
      <c r="F20" s="5">
        <v>0.4</v>
      </c>
      <c r="G20" s="5">
        <v>57</v>
      </c>
      <c r="H20" s="5">
        <v>1.6</v>
      </c>
      <c r="I20" s="5">
        <v>3</v>
      </c>
      <c r="J20" s="5">
        <v>3</v>
      </c>
      <c r="K20" s="5">
        <v>7.6</v>
      </c>
      <c r="L20" s="5">
        <v>72.83</v>
      </c>
      <c r="M20" s="5">
        <v>9.6999999999999993</v>
      </c>
      <c r="N20" s="5">
        <v>79.09</v>
      </c>
      <c r="O20" s="5">
        <v>4.0999999999999996</v>
      </c>
      <c r="P20" s="5">
        <v>43.85</v>
      </c>
      <c r="Q20" s="5">
        <v>8</v>
      </c>
      <c r="R20" s="5">
        <v>48</v>
      </c>
      <c r="S20" s="5">
        <v>4.1666666999999998E-2</v>
      </c>
      <c r="T20" s="5">
        <v>0.39166666700000002</v>
      </c>
      <c r="U20" s="5">
        <v>0.08</v>
      </c>
      <c r="V20" s="5">
        <v>1</v>
      </c>
      <c r="W20" s="5">
        <v>27</v>
      </c>
      <c r="X20" s="5">
        <v>0.15</v>
      </c>
      <c r="Y20" s="5">
        <v>0.5</v>
      </c>
      <c r="Z20" s="5">
        <v>0.02</v>
      </c>
      <c r="AA20" s="5">
        <v>0.05</v>
      </c>
      <c r="AB20" s="5">
        <v>0</v>
      </c>
      <c r="AC20" s="5"/>
    </row>
    <row r="21" spans="1:29" ht="29.1">
      <c r="A21" s="4" t="s">
        <v>266</v>
      </c>
      <c r="B21" s="5">
        <v>12</v>
      </c>
      <c r="C21" s="4" t="s">
        <v>441</v>
      </c>
      <c r="D21" s="4" t="s">
        <v>263</v>
      </c>
      <c r="E21" s="4" t="s">
        <v>446</v>
      </c>
      <c r="F21" s="5">
        <v>0.4</v>
      </c>
      <c r="G21" s="5">
        <v>57</v>
      </c>
      <c r="H21" s="5">
        <v>1.6</v>
      </c>
      <c r="I21" s="5">
        <v>3</v>
      </c>
      <c r="J21" s="5">
        <v>3</v>
      </c>
      <c r="K21" s="5">
        <v>7.6</v>
      </c>
      <c r="L21" s="5">
        <v>72.83</v>
      </c>
      <c r="M21" s="5">
        <v>9.6999999999999993</v>
      </c>
      <c r="N21" s="5">
        <v>79.09</v>
      </c>
      <c r="O21" s="5">
        <v>4.0999999999999996</v>
      </c>
      <c r="P21" s="5">
        <v>43.85</v>
      </c>
      <c r="Q21" s="5">
        <v>8</v>
      </c>
      <c r="R21" s="5">
        <v>48</v>
      </c>
      <c r="S21" s="5">
        <v>4.1666666999999998E-2</v>
      </c>
      <c r="T21" s="5">
        <v>0.39166666700000002</v>
      </c>
      <c r="U21" s="5">
        <v>0.08</v>
      </c>
      <c r="V21" s="5">
        <v>1</v>
      </c>
      <c r="W21" s="5">
        <v>27</v>
      </c>
      <c r="X21" s="5">
        <v>0.15</v>
      </c>
      <c r="Y21" s="5">
        <v>0.5</v>
      </c>
      <c r="Z21" s="5">
        <v>0.02</v>
      </c>
      <c r="AA21" s="5">
        <v>0.05</v>
      </c>
      <c r="AB21" s="5">
        <v>0</v>
      </c>
      <c r="AC21" s="5"/>
    </row>
    <row r="22" spans="1:29" ht="29.1">
      <c r="A22" s="4" t="s">
        <v>269</v>
      </c>
      <c r="B22" s="5">
        <v>13</v>
      </c>
      <c r="C22" s="4" t="s">
        <v>441</v>
      </c>
      <c r="D22" s="4" t="s">
        <v>269</v>
      </c>
      <c r="E22" s="4" t="s">
        <v>447</v>
      </c>
      <c r="F22" s="5">
        <v>0.48</v>
      </c>
      <c r="G22" s="5">
        <v>57</v>
      </c>
      <c r="H22" s="5">
        <v>1.6</v>
      </c>
      <c r="I22" s="5">
        <v>3</v>
      </c>
      <c r="J22" s="5">
        <v>3</v>
      </c>
      <c r="K22" s="5">
        <v>7.6</v>
      </c>
      <c r="L22" s="5">
        <v>43.07</v>
      </c>
      <c r="M22" s="5">
        <v>9.6999999999999993</v>
      </c>
      <c r="N22" s="5">
        <v>61.86</v>
      </c>
      <c r="O22" s="5">
        <v>4.0999999999999996</v>
      </c>
      <c r="P22" s="5">
        <v>27.41</v>
      </c>
      <c r="Q22" s="5">
        <v>8</v>
      </c>
      <c r="R22" s="5">
        <v>48</v>
      </c>
      <c r="S22" s="5">
        <v>0.76249999999999996</v>
      </c>
      <c r="T22" s="5">
        <v>2.8746666670000001</v>
      </c>
      <c r="U22" s="5">
        <v>0.08</v>
      </c>
      <c r="V22" s="5">
        <v>1</v>
      </c>
      <c r="W22" s="5">
        <v>27</v>
      </c>
      <c r="X22" s="5">
        <v>0.15</v>
      </c>
      <c r="Y22" s="5">
        <v>0.5</v>
      </c>
      <c r="Z22" s="5">
        <v>0.02</v>
      </c>
      <c r="AA22" s="5">
        <v>0.05</v>
      </c>
      <c r="AB22" s="5">
        <v>0</v>
      </c>
      <c r="AC22" s="5"/>
    </row>
    <row r="23" spans="1:29" ht="29.1">
      <c r="A23" s="4" t="s">
        <v>272</v>
      </c>
      <c r="B23" s="5">
        <v>13</v>
      </c>
      <c r="C23" s="4" t="s">
        <v>441</v>
      </c>
      <c r="D23" s="4" t="s">
        <v>269</v>
      </c>
      <c r="E23" s="4" t="s">
        <v>447</v>
      </c>
      <c r="F23" s="5">
        <v>0.48</v>
      </c>
      <c r="G23" s="5">
        <v>57</v>
      </c>
      <c r="H23" s="5">
        <v>1.6</v>
      </c>
      <c r="I23" s="5">
        <v>3</v>
      </c>
      <c r="J23" s="5">
        <v>3</v>
      </c>
      <c r="K23" s="5">
        <v>7.6</v>
      </c>
      <c r="L23" s="5">
        <v>43.07</v>
      </c>
      <c r="M23" s="5">
        <v>9.6999999999999993</v>
      </c>
      <c r="N23" s="5">
        <v>61.86</v>
      </c>
      <c r="O23" s="5">
        <v>4.0999999999999996</v>
      </c>
      <c r="P23" s="5">
        <v>27.41</v>
      </c>
      <c r="Q23" s="5">
        <v>8</v>
      </c>
      <c r="R23" s="5">
        <v>48</v>
      </c>
      <c r="S23" s="5">
        <v>0.76249999999999996</v>
      </c>
      <c r="T23" s="5">
        <v>2.8746666670000001</v>
      </c>
      <c r="U23" s="5">
        <v>0.08</v>
      </c>
      <c r="V23" s="5">
        <v>1</v>
      </c>
      <c r="W23" s="5">
        <v>27</v>
      </c>
      <c r="X23" s="5">
        <v>0.15</v>
      </c>
      <c r="Y23" s="5">
        <v>0.5</v>
      </c>
      <c r="Z23" s="5">
        <v>0.02</v>
      </c>
      <c r="AA23" s="5">
        <v>0.05</v>
      </c>
      <c r="AB23" s="5">
        <v>0</v>
      </c>
      <c r="AC23" s="5"/>
    </row>
    <row r="24" spans="1:29" ht="29.1">
      <c r="A24" s="4" t="s">
        <v>275</v>
      </c>
      <c r="B24" s="5">
        <v>14</v>
      </c>
      <c r="C24" s="4" t="s">
        <v>441</v>
      </c>
      <c r="D24" s="4" t="s">
        <v>275</v>
      </c>
      <c r="E24" s="4" t="s">
        <v>448</v>
      </c>
      <c r="F24" s="5">
        <v>0.56000000000000005</v>
      </c>
      <c r="G24" s="5">
        <v>57</v>
      </c>
      <c r="H24" s="5">
        <v>1.6</v>
      </c>
      <c r="I24" s="5">
        <v>2</v>
      </c>
      <c r="J24" s="5">
        <v>2</v>
      </c>
      <c r="K24" s="5">
        <v>7.6</v>
      </c>
      <c r="L24" s="5">
        <v>25.06</v>
      </c>
      <c r="M24" s="5">
        <v>9.6999999999999993</v>
      </c>
      <c r="N24" s="5">
        <v>36.020000000000003</v>
      </c>
      <c r="O24" s="5">
        <v>4.0999999999999996</v>
      </c>
      <c r="P24" s="5">
        <v>21.93</v>
      </c>
      <c r="Q24" s="5">
        <v>8</v>
      </c>
      <c r="R24" s="5">
        <v>48</v>
      </c>
      <c r="S24" s="5">
        <v>1.0333333330000001</v>
      </c>
      <c r="T24" s="5">
        <v>3.405294118</v>
      </c>
      <c r="U24" s="5">
        <v>0.05</v>
      </c>
      <c r="V24" s="5">
        <v>1</v>
      </c>
      <c r="W24" s="5">
        <v>27</v>
      </c>
      <c r="X24" s="5">
        <v>0.15</v>
      </c>
      <c r="Y24" s="5">
        <v>0.4</v>
      </c>
      <c r="Z24" s="5">
        <v>0.04</v>
      </c>
      <c r="AA24" s="5">
        <v>0.05</v>
      </c>
      <c r="AB24" s="5">
        <v>0</v>
      </c>
      <c r="AC24" s="5"/>
    </row>
    <row r="25" spans="1:29" ht="29.1">
      <c r="A25" s="4" t="s">
        <v>277</v>
      </c>
      <c r="B25" s="5">
        <v>14</v>
      </c>
      <c r="C25" s="4" t="s">
        <v>441</v>
      </c>
      <c r="D25" s="4" t="s">
        <v>275</v>
      </c>
      <c r="E25" s="4" t="s">
        <v>448</v>
      </c>
      <c r="F25" s="5">
        <v>0.56000000000000005</v>
      </c>
      <c r="G25" s="5">
        <v>57</v>
      </c>
      <c r="H25" s="5">
        <v>1.6</v>
      </c>
      <c r="I25" s="5">
        <v>2</v>
      </c>
      <c r="J25" s="5">
        <v>2</v>
      </c>
      <c r="K25" s="5">
        <v>7.6</v>
      </c>
      <c r="L25" s="5">
        <v>25.06</v>
      </c>
      <c r="M25" s="5">
        <v>9.6999999999999993</v>
      </c>
      <c r="N25" s="5">
        <v>36.020000000000003</v>
      </c>
      <c r="O25" s="5">
        <v>4.0999999999999996</v>
      </c>
      <c r="P25" s="5">
        <v>21.93</v>
      </c>
      <c r="Q25" s="5">
        <v>8</v>
      </c>
      <c r="R25" s="5">
        <v>48</v>
      </c>
      <c r="S25" s="5">
        <v>1.0333333330000001</v>
      </c>
      <c r="T25" s="5">
        <v>3.405294118</v>
      </c>
      <c r="U25" s="5">
        <v>0.05</v>
      </c>
      <c r="V25" s="5">
        <v>1</v>
      </c>
      <c r="W25" s="5">
        <v>27</v>
      </c>
      <c r="X25" s="5">
        <v>0.15</v>
      </c>
      <c r="Y25" s="5">
        <v>0.4</v>
      </c>
      <c r="Z25" s="5">
        <v>0.04</v>
      </c>
      <c r="AA25" s="5">
        <v>0.05</v>
      </c>
      <c r="AB25" s="5">
        <v>0</v>
      </c>
      <c r="AC25" s="5"/>
    </row>
    <row r="26" spans="1:29" ht="29.1">
      <c r="A26" s="4" t="s">
        <v>279</v>
      </c>
      <c r="B26" s="5">
        <v>15</v>
      </c>
      <c r="C26" s="4" t="s">
        <v>441</v>
      </c>
      <c r="D26" s="4" t="s">
        <v>279</v>
      </c>
      <c r="E26" s="4" t="s">
        <v>448</v>
      </c>
      <c r="F26" s="5">
        <v>0.57999999999999996</v>
      </c>
      <c r="G26" s="5">
        <v>57</v>
      </c>
      <c r="H26" s="5">
        <v>1.6</v>
      </c>
      <c r="I26" s="5">
        <v>2</v>
      </c>
      <c r="J26" s="5">
        <v>2</v>
      </c>
      <c r="K26" s="5">
        <v>7.6</v>
      </c>
      <c r="L26" s="5">
        <v>25.06</v>
      </c>
      <c r="M26" s="5">
        <v>9.6999999999999993</v>
      </c>
      <c r="N26" s="5">
        <v>36.020000000000003</v>
      </c>
      <c r="O26" s="5">
        <v>4.0999999999999996</v>
      </c>
      <c r="P26" s="5">
        <v>21.93</v>
      </c>
      <c r="Q26" s="5">
        <v>8</v>
      </c>
      <c r="R26" s="5">
        <v>48</v>
      </c>
      <c r="S26" s="5">
        <v>1.0833333329999999</v>
      </c>
      <c r="T26" s="5">
        <v>2.0833333330000001</v>
      </c>
      <c r="U26" s="5">
        <v>0.05</v>
      </c>
      <c r="V26" s="5">
        <v>1</v>
      </c>
      <c r="W26" s="5">
        <v>27</v>
      </c>
      <c r="X26" s="5">
        <v>0.15</v>
      </c>
      <c r="Y26" s="5">
        <v>0.4</v>
      </c>
      <c r="Z26" s="5">
        <v>0.04</v>
      </c>
      <c r="AA26" s="5">
        <v>0.05</v>
      </c>
      <c r="AB26" s="5">
        <v>0</v>
      </c>
      <c r="AC26" s="5"/>
    </row>
    <row r="27" spans="1:29" ht="29.1">
      <c r="A27" s="4" t="s">
        <v>282</v>
      </c>
      <c r="B27" s="5">
        <v>15</v>
      </c>
      <c r="C27" s="4" t="s">
        <v>441</v>
      </c>
      <c r="D27" s="4" t="s">
        <v>279</v>
      </c>
      <c r="E27" s="4" t="s">
        <v>448</v>
      </c>
      <c r="F27" s="5">
        <v>0.57999999999999996</v>
      </c>
      <c r="G27" s="5">
        <v>57</v>
      </c>
      <c r="H27" s="5">
        <v>1.6</v>
      </c>
      <c r="I27" s="5">
        <v>2</v>
      </c>
      <c r="J27" s="5">
        <v>2</v>
      </c>
      <c r="K27" s="5">
        <v>7.6</v>
      </c>
      <c r="L27" s="5">
        <v>25.06</v>
      </c>
      <c r="M27" s="5">
        <v>9.6999999999999993</v>
      </c>
      <c r="N27" s="5">
        <v>36.020000000000003</v>
      </c>
      <c r="O27" s="5">
        <v>4.0999999999999996</v>
      </c>
      <c r="P27" s="5">
        <v>21.93</v>
      </c>
      <c r="Q27" s="5">
        <v>8</v>
      </c>
      <c r="R27" s="5">
        <v>48</v>
      </c>
      <c r="S27" s="5">
        <v>1.0833333329999999</v>
      </c>
      <c r="T27" s="5">
        <v>2.0833333330000001</v>
      </c>
      <c r="U27" s="5">
        <v>0.05</v>
      </c>
      <c r="V27" s="5">
        <v>1</v>
      </c>
      <c r="W27" s="5">
        <v>27</v>
      </c>
      <c r="X27" s="5">
        <v>0.15</v>
      </c>
      <c r="Y27" s="5">
        <v>0.4</v>
      </c>
      <c r="Z27" s="5">
        <v>0.04</v>
      </c>
      <c r="AA27" s="5">
        <v>0.05</v>
      </c>
      <c r="AB27" s="5">
        <v>0</v>
      </c>
      <c r="AC27" s="5"/>
    </row>
    <row r="28" spans="1:29" ht="29.1">
      <c r="A28" s="4" t="s">
        <v>258</v>
      </c>
      <c r="B28" s="5">
        <v>16</v>
      </c>
      <c r="C28" s="4" t="s">
        <v>441</v>
      </c>
      <c r="D28" s="4" t="s">
        <v>258</v>
      </c>
      <c r="E28" s="4" t="s">
        <v>448</v>
      </c>
      <c r="F28" s="5">
        <v>0.6</v>
      </c>
      <c r="G28" s="5">
        <v>57</v>
      </c>
      <c r="H28" s="5">
        <v>1.6</v>
      </c>
      <c r="I28" s="5">
        <v>2</v>
      </c>
      <c r="J28" s="5">
        <v>2</v>
      </c>
      <c r="K28" s="5">
        <v>7.6</v>
      </c>
      <c r="L28" s="5">
        <v>25.06</v>
      </c>
      <c r="M28" s="5">
        <v>9.6999999999999993</v>
      </c>
      <c r="N28" s="5">
        <v>36.020000000000003</v>
      </c>
      <c r="O28" s="5">
        <v>4.0999999999999996</v>
      </c>
      <c r="P28" s="5">
        <v>21.93</v>
      </c>
      <c r="Q28" s="5">
        <v>8</v>
      </c>
      <c r="R28" s="5">
        <v>48</v>
      </c>
      <c r="S28" s="5">
        <v>19</v>
      </c>
      <c r="T28" s="5">
        <v>5.3013095239999997</v>
      </c>
      <c r="U28" s="5">
        <v>0.05</v>
      </c>
      <c r="V28" s="5">
        <v>1</v>
      </c>
      <c r="W28" s="5">
        <v>27</v>
      </c>
      <c r="X28" s="5">
        <v>0.15</v>
      </c>
      <c r="Y28" s="5">
        <v>0.4</v>
      </c>
      <c r="Z28" s="5">
        <v>0.04</v>
      </c>
      <c r="AA28" s="5">
        <v>0.05</v>
      </c>
      <c r="AB28" s="5">
        <v>0</v>
      </c>
      <c r="AC28" s="5"/>
    </row>
    <row r="29" spans="1:29" ht="29.1">
      <c r="A29" s="4" t="s">
        <v>261</v>
      </c>
      <c r="B29" s="5">
        <v>16</v>
      </c>
      <c r="C29" s="4" t="s">
        <v>441</v>
      </c>
      <c r="D29" s="4" t="s">
        <v>258</v>
      </c>
      <c r="E29" s="4" t="s">
        <v>448</v>
      </c>
      <c r="F29" s="5">
        <v>0.6</v>
      </c>
      <c r="G29" s="5">
        <v>57</v>
      </c>
      <c r="H29" s="5">
        <v>1.6</v>
      </c>
      <c r="I29" s="5">
        <v>2</v>
      </c>
      <c r="J29" s="5">
        <v>2</v>
      </c>
      <c r="K29" s="5">
        <v>7.6</v>
      </c>
      <c r="L29" s="5">
        <v>25.06</v>
      </c>
      <c r="M29" s="5">
        <v>9.6999999999999993</v>
      </c>
      <c r="N29" s="5">
        <v>36.020000000000003</v>
      </c>
      <c r="O29" s="5">
        <v>4.0999999999999996</v>
      </c>
      <c r="P29" s="5">
        <v>21.93</v>
      </c>
      <c r="Q29" s="5">
        <v>8</v>
      </c>
      <c r="R29" s="5">
        <v>48</v>
      </c>
      <c r="S29" s="5">
        <v>19</v>
      </c>
      <c r="T29" s="5">
        <v>5.3013095239999997</v>
      </c>
      <c r="U29" s="5">
        <v>0.05</v>
      </c>
      <c r="V29" s="5">
        <v>1</v>
      </c>
      <c r="W29" s="5">
        <v>27</v>
      </c>
      <c r="X29" s="5">
        <v>0.15</v>
      </c>
      <c r="Y29" s="5">
        <v>0.4</v>
      </c>
      <c r="Z29" s="5">
        <v>0.04</v>
      </c>
      <c r="AA29" s="5">
        <v>0.05</v>
      </c>
      <c r="AB29" s="5">
        <v>0</v>
      </c>
      <c r="AC29" s="5"/>
    </row>
    <row r="30" spans="1:29" ht="29.1">
      <c r="A30" s="4" t="s">
        <v>245</v>
      </c>
      <c r="B30" s="5">
        <v>17</v>
      </c>
      <c r="C30" s="4" t="s">
        <v>441</v>
      </c>
      <c r="D30" s="4" t="s">
        <v>245</v>
      </c>
      <c r="E30" s="4" t="s">
        <v>449</v>
      </c>
      <c r="F30" s="5">
        <v>0.51</v>
      </c>
      <c r="G30" s="5">
        <v>0</v>
      </c>
      <c r="H30" s="5">
        <v>3.2</v>
      </c>
      <c r="I30" s="5">
        <v>4</v>
      </c>
      <c r="J30" s="5">
        <v>4</v>
      </c>
      <c r="K30" s="5">
        <v>7.6</v>
      </c>
      <c r="L30" s="5">
        <v>43.07</v>
      </c>
      <c r="M30" s="5">
        <v>9.6999999999999993</v>
      </c>
      <c r="N30" s="5">
        <v>61.86</v>
      </c>
      <c r="O30" s="5">
        <v>4.0999999999999996</v>
      </c>
      <c r="P30" s="5">
        <v>27.41</v>
      </c>
      <c r="Q30" s="5">
        <v>8</v>
      </c>
      <c r="R30" s="5">
        <v>48</v>
      </c>
      <c r="S30" s="5">
        <v>0</v>
      </c>
      <c r="T30" s="5">
        <v>0</v>
      </c>
      <c r="U30" s="5">
        <v>0.05</v>
      </c>
      <c r="V30" s="5">
        <v>1</v>
      </c>
      <c r="W30" s="5">
        <v>27</v>
      </c>
      <c r="X30" s="5">
        <v>0.15</v>
      </c>
      <c r="Y30" s="5">
        <v>0.4</v>
      </c>
      <c r="Z30" s="5">
        <v>0.04</v>
      </c>
      <c r="AA30" s="5">
        <v>0.05</v>
      </c>
      <c r="AB30" s="5">
        <v>0</v>
      </c>
      <c r="AC30" s="5"/>
    </row>
    <row r="31" spans="1:29" ht="29.1">
      <c r="A31" s="4" t="s">
        <v>249</v>
      </c>
      <c r="B31" s="5">
        <v>17</v>
      </c>
      <c r="C31" s="4" t="s">
        <v>441</v>
      </c>
      <c r="D31" s="4" t="s">
        <v>245</v>
      </c>
      <c r="E31" s="4" t="s">
        <v>449</v>
      </c>
      <c r="F31" s="5">
        <v>0.51</v>
      </c>
      <c r="G31" s="5">
        <v>0</v>
      </c>
      <c r="H31" s="5">
        <v>3.2</v>
      </c>
      <c r="I31" s="5">
        <v>4</v>
      </c>
      <c r="J31" s="5">
        <v>4</v>
      </c>
      <c r="K31" s="5">
        <v>7.6</v>
      </c>
      <c r="L31" s="5">
        <v>43.07</v>
      </c>
      <c r="M31" s="5">
        <v>9.6999999999999993</v>
      </c>
      <c r="N31" s="5">
        <v>61.86</v>
      </c>
      <c r="O31" s="5">
        <v>4.0999999999999996</v>
      </c>
      <c r="P31" s="5">
        <v>27.41</v>
      </c>
      <c r="Q31" s="5">
        <v>8</v>
      </c>
      <c r="R31" s="5">
        <v>48</v>
      </c>
      <c r="S31" s="5">
        <v>0</v>
      </c>
      <c r="T31" s="5">
        <v>0</v>
      </c>
      <c r="U31" s="5">
        <v>0.05</v>
      </c>
      <c r="V31" s="5">
        <v>1</v>
      </c>
      <c r="W31" s="5">
        <v>27</v>
      </c>
      <c r="X31" s="5">
        <v>0.15</v>
      </c>
      <c r="Y31" s="5">
        <v>0.4</v>
      </c>
      <c r="Z31" s="5">
        <v>0.04</v>
      </c>
      <c r="AA31" s="5">
        <v>0.05</v>
      </c>
      <c r="AB31" s="5">
        <v>0</v>
      </c>
      <c r="AC31" s="5"/>
    </row>
    <row r="32" spans="1:29" ht="29.1">
      <c r="A32" s="4" t="s">
        <v>356</v>
      </c>
      <c r="B32" s="5">
        <v>18</v>
      </c>
      <c r="C32" s="4" t="s">
        <v>441</v>
      </c>
      <c r="D32" s="4" t="s">
        <v>356</v>
      </c>
      <c r="E32" s="4" t="s">
        <v>450</v>
      </c>
      <c r="F32" s="5">
        <v>0.35</v>
      </c>
      <c r="G32" s="5">
        <v>57</v>
      </c>
      <c r="H32" s="5">
        <v>1.6</v>
      </c>
      <c r="I32" s="5">
        <v>1</v>
      </c>
      <c r="J32" s="5">
        <v>1</v>
      </c>
      <c r="K32" s="5">
        <v>0.21</v>
      </c>
      <c r="L32" s="5">
        <v>52.47</v>
      </c>
      <c r="M32" s="5">
        <v>0.25</v>
      </c>
      <c r="N32" s="5">
        <v>52.47</v>
      </c>
      <c r="O32" s="5">
        <v>0.2</v>
      </c>
      <c r="P32" s="5">
        <v>30.54</v>
      </c>
      <c r="Q32" s="5">
        <v>2</v>
      </c>
      <c r="R32" s="5">
        <v>3</v>
      </c>
      <c r="S32" s="5">
        <v>1</v>
      </c>
      <c r="T32" s="5">
        <v>1</v>
      </c>
      <c r="U32" s="5">
        <v>0.08</v>
      </c>
      <c r="V32" s="5">
        <v>1</v>
      </c>
      <c r="W32" s="5">
        <v>13</v>
      </c>
      <c r="X32" s="5">
        <v>0.15</v>
      </c>
      <c r="Y32" s="5">
        <v>0.5</v>
      </c>
      <c r="Z32" s="5">
        <v>0.08</v>
      </c>
      <c r="AA32" s="5">
        <v>0.08</v>
      </c>
      <c r="AB32" s="5">
        <v>0</v>
      </c>
      <c r="AC32" s="5"/>
    </row>
    <row r="33" spans="1:29" ht="29.1">
      <c r="A33" s="4" t="s">
        <v>359</v>
      </c>
      <c r="B33" s="5">
        <v>18</v>
      </c>
      <c r="C33" s="4" t="s">
        <v>441</v>
      </c>
      <c r="D33" s="4" t="s">
        <v>356</v>
      </c>
      <c r="E33" s="4" t="s">
        <v>450</v>
      </c>
      <c r="F33" s="5">
        <v>0.35</v>
      </c>
      <c r="G33" s="5">
        <v>57</v>
      </c>
      <c r="H33" s="5">
        <v>1.6</v>
      </c>
      <c r="I33" s="5">
        <v>1</v>
      </c>
      <c r="J33" s="5">
        <v>1</v>
      </c>
      <c r="K33" s="5">
        <v>0.21</v>
      </c>
      <c r="L33" s="5">
        <v>52.47</v>
      </c>
      <c r="M33" s="5">
        <v>0.25</v>
      </c>
      <c r="N33" s="5">
        <v>52.47</v>
      </c>
      <c r="O33" s="5">
        <v>0.2</v>
      </c>
      <c r="P33" s="5">
        <v>30.54</v>
      </c>
      <c r="Q33" s="5">
        <v>2</v>
      </c>
      <c r="R33" s="5">
        <v>3</v>
      </c>
      <c r="S33" s="5">
        <v>1</v>
      </c>
      <c r="T33" s="5">
        <v>1</v>
      </c>
      <c r="U33" s="5">
        <v>0.08</v>
      </c>
      <c r="V33" s="5">
        <v>1</v>
      </c>
      <c r="W33" s="5">
        <v>13</v>
      </c>
      <c r="X33" s="5">
        <v>0.15</v>
      </c>
      <c r="Y33" s="5">
        <v>0.5</v>
      </c>
      <c r="Z33" s="5">
        <v>0.08</v>
      </c>
      <c r="AA33" s="5">
        <v>0.08</v>
      </c>
      <c r="AB33" s="5">
        <v>0</v>
      </c>
      <c r="AC33" s="5"/>
    </row>
    <row r="34" spans="1:29" ht="29.1">
      <c r="A34" s="4" t="s">
        <v>351</v>
      </c>
      <c r="B34" s="5">
        <v>19</v>
      </c>
      <c r="C34" s="4" t="s">
        <v>441</v>
      </c>
      <c r="D34" s="4" t="s">
        <v>351</v>
      </c>
      <c r="E34" s="4" t="s">
        <v>451</v>
      </c>
      <c r="F34" s="5">
        <v>0.42</v>
      </c>
      <c r="G34" s="5">
        <v>57</v>
      </c>
      <c r="H34" s="5">
        <v>1.6</v>
      </c>
      <c r="I34" s="5">
        <v>1</v>
      </c>
      <c r="J34" s="5">
        <v>1</v>
      </c>
      <c r="K34" s="5">
        <v>0.21</v>
      </c>
      <c r="L34" s="5">
        <v>20.36</v>
      </c>
      <c r="M34" s="5">
        <v>0.25</v>
      </c>
      <c r="N34" s="5">
        <v>24.28</v>
      </c>
      <c r="O34" s="5">
        <v>0.2</v>
      </c>
      <c r="P34" s="5">
        <v>17.23</v>
      </c>
      <c r="Q34" s="5">
        <v>2</v>
      </c>
      <c r="R34" s="5">
        <v>3</v>
      </c>
      <c r="S34" s="5">
        <v>1</v>
      </c>
      <c r="T34" s="5">
        <v>0.96666666700000003</v>
      </c>
      <c r="U34" s="5">
        <v>0.05</v>
      </c>
      <c r="V34" s="5">
        <v>1</v>
      </c>
      <c r="W34" s="5">
        <v>13</v>
      </c>
      <c r="X34" s="5">
        <v>0.15</v>
      </c>
      <c r="Y34" s="5">
        <v>0.4</v>
      </c>
      <c r="Z34" s="5">
        <v>0.12</v>
      </c>
      <c r="AA34" s="5">
        <v>0.12</v>
      </c>
      <c r="AB34" s="5">
        <v>0</v>
      </c>
      <c r="AC34" s="5"/>
    </row>
    <row r="35" spans="1:29" ht="29.1">
      <c r="A35" s="4" t="s">
        <v>354</v>
      </c>
      <c r="B35" s="5">
        <v>19</v>
      </c>
      <c r="C35" s="4" t="s">
        <v>441</v>
      </c>
      <c r="D35" s="4" t="s">
        <v>351</v>
      </c>
      <c r="E35" s="4" t="s">
        <v>451</v>
      </c>
      <c r="F35" s="5">
        <v>0.42</v>
      </c>
      <c r="G35" s="5">
        <v>57</v>
      </c>
      <c r="H35" s="5">
        <v>1.6</v>
      </c>
      <c r="I35" s="5">
        <v>1</v>
      </c>
      <c r="J35" s="5">
        <v>1</v>
      </c>
      <c r="K35" s="5">
        <v>0.21</v>
      </c>
      <c r="L35" s="5">
        <v>20.36</v>
      </c>
      <c r="M35" s="5">
        <v>0.25</v>
      </c>
      <c r="N35" s="5">
        <v>24.28</v>
      </c>
      <c r="O35" s="5">
        <v>0.2</v>
      </c>
      <c r="P35" s="5">
        <v>17.23</v>
      </c>
      <c r="Q35" s="5">
        <v>2</v>
      </c>
      <c r="R35" s="5">
        <v>3</v>
      </c>
      <c r="S35" s="5">
        <v>1</v>
      </c>
      <c r="T35" s="5">
        <v>0.96666666700000003</v>
      </c>
      <c r="U35" s="5">
        <v>0.05</v>
      </c>
      <c r="V35" s="5">
        <v>1</v>
      </c>
      <c r="W35" s="5">
        <v>13</v>
      </c>
      <c r="X35" s="5">
        <v>0.15</v>
      </c>
      <c r="Y35" s="5">
        <v>0.4</v>
      </c>
      <c r="Z35" s="5">
        <v>0.12</v>
      </c>
      <c r="AA35" s="5">
        <v>0.12</v>
      </c>
      <c r="AB35" s="5">
        <v>0</v>
      </c>
      <c r="AC35" s="5"/>
    </row>
    <row r="36" spans="1:29" ht="29.1">
      <c r="A36" s="4" t="s">
        <v>322</v>
      </c>
      <c r="B36" s="5">
        <v>20</v>
      </c>
      <c r="C36" s="4" t="s">
        <v>452</v>
      </c>
      <c r="D36" s="4" t="s">
        <v>430</v>
      </c>
      <c r="E36" s="4" t="s">
        <v>453</v>
      </c>
      <c r="F36" s="5">
        <v>0.35</v>
      </c>
      <c r="G36" s="5">
        <v>78</v>
      </c>
      <c r="H36" s="5">
        <v>1.1000000000000001</v>
      </c>
      <c r="I36" s="5">
        <v>1</v>
      </c>
      <c r="J36" s="5">
        <v>1</v>
      </c>
      <c r="K36" s="5">
        <v>0.21</v>
      </c>
      <c r="L36" s="5">
        <v>36</v>
      </c>
      <c r="M36" s="5">
        <v>0.25</v>
      </c>
      <c r="N36" s="5">
        <v>38.4</v>
      </c>
      <c r="O36" s="5">
        <v>0.2</v>
      </c>
      <c r="P36" s="5">
        <v>24</v>
      </c>
      <c r="Q36" s="5">
        <v>2</v>
      </c>
      <c r="R36" s="5">
        <v>3</v>
      </c>
      <c r="S36" s="5">
        <v>1</v>
      </c>
      <c r="T36" s="5">
        <v>1.1645979019999999</v>
      </c>
      <c r="U36" s="5">
        <v>0.08</v>
      </c>
      <c r="V36" s="5">
        <v>1</v>
      </c>
      <c r="W36" s="5">
        <v>13</v>
      </c>
      <c r="X36" s="5">
        <v>0.15</v>
      </c>
      <c r="Y36" s="5">
        <v>0.5</v>
      </c>
      <c r="Z36" s="5">
        <v>0.08</v>
      </c>
      <c r="AA36" s="5">
        <v>0.08</v>
      </c>
      <c r="AB36" s="5">
        <v>0</v>
      </c>
      <c r="AC36" s="5"/>
    </row>
    <row r="37" spans="1:29" ht="29.1">
      <c r="A37" s="4" t="s">
        <v>325</v>
      </c>
      <c r="B37" s="5">
        <v>20</v>
      </c>
      <c r="C37" s="4" t="s">
        <v>452</v>
      </c>
      <c r="D37" s="4" t="s">
        <v>430</v>
      </c>
      <c r="E37" s="4" t="s">
        <v>453</v>
      </c>
      <c r="F37" s="5">
        <v>0.35</v>
      </c>
      <c r="G37" s="5">
        <v>78</v>
      </c>
      <c r="H37" s="5">
        <v>1.1000000000000001</v>
      </c>
      <c r="I37" s="5">
        <v>1</v>
      </c>
      <c r="J37" s="5">
        <v>1</v>
      </c>
      <c r="K37" s="5">
        <v>0.21</v>
      </c>
      <c r="L37" s="5">
        <v>36</v>
      </c>
      <c r="M37" s="5">
        <v>0.25</v>
      </c>
      <c r="N37" s="5">
        <v>38.4</v>
      </c>
      <c r="O37" s="5">
        <v>0.2</v>
      </c>
      <c r="P37" s="5">
        <v>24</v>
      </c>
      <c r="Q37" s="5">
        <v>2</v>
      </c>
      <c r="R37" s="5">
        <v>3</v>
      </c>
      <c r="S37" s="5">
        <v>1</v>
      </c>
      <c r="T37" s="5">
        <v>1.1645979019999999</v>
      </c>
      <c r="U37" s="5">
        <v>0.08</v>
      </c>
      <c r="V37" s="5">
        <v>1</v>
      </c>
      <c r="W37" s="5">
        <v>13</v>
      </c>
      <c r="X37" s="5">
        <v>0.15</v>
      </c>
      <c r="Y37" s="5">
        <v>0.5</v>
      </c>
      <c r="Z37" s="5">
        <v>0.08</v>
      </c>
      <c r="AA37" s="5">
        <v>0.08</v>
      </c>
      <c r="AB37" s="5">
        <v>0</v>
      </c>
      <c r="AC37" s="5"/>
    </row>
    <row r="38" spans="1:29" ht="29.1">
      <c r="A38" s="4" t="s">
        <v>313</v>
      </c>
      <c r="B38" s="5">
        <v>21</v>
      </c>
      <c r="C38" s="4" t="s">
        <v>452</v>
      </c>
      <c r="D38" s="4" t="s">
        <v>434</v>
      </c>
      <c r="E38" s="4" t="s">
        <v>454</v>
      </c>
      <c r="F38" s="5">
        <v>0.35</v>
      </c>
      <c r="G38" s="5">
        <v>78</v>
      </c>
      <c r="H38" s="5">
        <v>3.3</v>
      </c>
      <c r="I38" s="5">
        <v>3</v>
      </c>
      <c r="J38" s="5">
        <v>3</v>
      </c>
      <c r="K38" s="5">
        <v>7.6</v>
      </c>
      <c r="L38" s="5">
        <v>70</v>
      </c>
      <c r="M38" s="5">
        <v>9.6999999999999993</v>
      </c>
      <c r="N38" s="5">
        <v>93.97</v>
      </c>
      <c r="O38" s="5">
        <v>4.0999999999999996</v>
      </c>
      <c r="P38" s="5">
        <v>49.33</v>
      </c>
      <c r="Q38" s="5">
        <v>8</v>
      </c>
      <c r="R38" s="5">
        <v>48</v>
      </c>
      <c r="S38" s="5">
        <v>1</v>
      </c>
      <c r="T38" s="5">
        <v>4.8055555559999998</v>
      </c>
      <c r="U38" s="5">
        <v>0.1</v>
      </c>
      <c r="V38" s="5">
        <v>1</v>
      </c>
      <c r="W38" s="5">
        <v>27</v>
      </c>
      <c r="X38" s="5">
        <v>0.15</v>
      </c>
      <c r="Y38" s="5">
        <v>0.5</v>
      </c>
      <c r="Z38" s="5">
        <v>0.08</v>
      </c>
      <c r="AA38" s="5">
        <v>0.08</v>
      </c>
      <c r="AB38" s="5">
        <v>0</v>
      </c>
      <c r="AC38" s="5"/>
    </row>
    <row r="39" spans="1:29" ht="29.1">
      <c r="A39" s="4" t="s">
        <v>316</v>
      </c>
      <c r="B39" s="5">
        <v>21</v>
      </c>
      <c r="C39" s="4" t="s">
        <v>452</v>
      </c>
      <c r="D39" s="4" t="s">
        <v>434</v>
      </c>
      <c r="E39" s="4" t="s">
        <v>454</v>
      </c>
      <c r="F39" s="5">
        <v>0.35</v>
      </c>
      <c r="G39" s="5">
        <v>78</v>
      </c>
      <c r="H39" s="5">
        <v>3.3</v>
      </c>
      <c r="I39" s="5">
        <v>3</v>
      </c>
      <c r="J39" s="5">
        <v>3</v>
      </c>
      <c r="K39" s="5">
        <v>7.6</v>
      </c>
      <c r="L39" s="5">
        <v>70</v>
      </c>
      <c r="M39" s="5">
        <v>9.6999999999999993</v>
      </c>
      <c r="N39" s="5">
        <v>93.97</v>
      </c>
      <c r="O39" s="5">
        <v>4.0999999999999996</v>
      </c>
      <c r="P39" s="5">
        <v>49.33</v>
      </c>
      <c r="Q39" s="5">
        <v>8</v>
      </c>
      <c r="R39" s="5">
        <v>48</v>
      </c>
      <c r="S39" s="5">
        <v>1</v>
      </c>
      <c r="T39" s="5">
        <v>4.8055555559999998</v>
      </c>
      <c r="U39" s="5">
        <v>0.1</v>
      </c>
      <c r="V39" s="5">
        <v>1</v>
      </c>
      <c r="W39" s="5">
        <v>27</v>
      </c>
      <c r="X39" s="5">
        <v>0.15</v>
      </c>
      <c r="Y39" s="5">
        <v>0.5</v>
      </c>
      <c r="Z39" s="5">
        <v>0.08</v>
      </c>
      <c r="AA39" s="5">
        <v>0.08</v>
      </c>
      <c r="AB39" s="5">
        <v>0</v>
      </c>
      <c r="AC39" s="5"/>
    </row>
    <row r="40" spans="1:29" ht="29.1">
      <c r="A40" s="4" t="s">
        <v>318</v>
      </c>
      <c r="B40" s="5">
        <v>22</v>
      </c>
      <c r="C40" s="4" t="s">
        <v>452</v>
      </c>
      <c r="D40" s="4" t="s">
        <v>436</v>
      </c>
      <c r="E40" s="4" t="s">
        <v>437</v>
      </c>
      <c r="F40" s="5">
        <v>0.4</v>
      </c>
      <c r="G40" s="5">
        <v>78</v>
      </c>
      <c r="H40" s="5">
        <v>3.3</v>
      </c>
      <c r="I40" s="5">
        <v>3</v>
      </c>
      <c r="J40" s="5">
        <v>3</v>
      </c>
      <c r="K40" s="5">
        <v>7.6</v>
      </c>
      <c r="L40" s="5">
        <v>50</v>
      </c>
      <c r="M40" s="5">
        <v>9.6999999999999993</v>
      </c>
      <c r="N40" s="5">
        <v>81.44</v>
      </c>
      <c r="O40" s="5">
        <v>4.0999999999999996</v>
      </c>
      <c r="P40" s="5">
        <v>42.29</v>
      </c>
      <c r="Q40" s="5">
        <v>8</v>
      </c>
      <c r="R40" s="5">
        <v>48</v>
      </c>
      <c r="S40" s="5">
        <v>1</v>
      </c>
      <c r="T40" s="5">
        <v>3.875</v>
      </c>
      <c r="U40" s="5">
        <v>0.1</v>
      </c>
      <c r="V40" s="5">
        <v>1</v>
      </c>
      <c r="W40" s="5">
        <v>27</v>
      </c>
      <c r="X40" s="5">
        <v>0.15</v>
      </c>
      <c r="Y40" s="5">
        <v>0.5</v>
      </c>
      <c r="Z40" s="5">
        <v>0.08</v>
      </c>
      <c r="AA40" s="5">
        <v>0.08</v>
      </c>
      <c r="AB40" s="5">
        <v>0</v>
      </c>
      <c r="AC40" s="5"/>
    </row>
    <row r="41" spans="1:29" ht="29.1">
      <c r="A41" s="4" t="s">
        <v>320</v>
      </c>
      <c r="B41" s="5">
        <v>22</v>
      </c>
      <c r="C41" s="4" t="s">
        <v>452</v>
      </c>
      <c r="D41" s="4" t="s">
        <v>436</v>
      </c>
      <c r="E41" s="4" t="s">
        <v>437</v>
      </c>
      <c r="F41" s="5">
        <v>0.4</v>
      </c>
      <c r="G41" s="5">
        <v>78</v>
      </c>
      <c r="H41" s="5">
        <v>3.3</v>
      </c>
      <c r="I41" s="5">
        <v>3</v>
      </c>
      <c r="J41" s="5">
        <v>3</v>
      </c>
      <c r="K41" s="5">
        <v>7.6</v>
      </c>
      <c r="L41" s="5">
        <v>50</v>
      </c>
      <c r="M41" s="5">
        <v>9.6999999999999993</v>
      </c>
      <c r="N41" s="5">
        <v>81.44</v>
      </c>
      <c r="O41" s="5">
        <v>4.0999999999999996</v>
      </c>
      <c r="P41" s="5">
        <v>42.29</v>
      </c>
      <c r="Q41" s="5">
        <v>8</v>
      </c>
      <c r="R41" s="5">
        <v>48</v>
      </c>
      <c r="S41" s="5">
        <v>1</v>
      </c>
      <c r="T41" s="5">
        <v>3.875</v>
      </c>
      <c r="U41" s="5">
        <v>0.1</v>
      </c>
      <c r="V41" s="5">
        <v>1</v>
      </c>
      <c r="W41" s="5">
        <v>27</v>
      </c>
      <c r="X41" s="5">
        <v>0.15</v>
      </c>
      <c r="Y41" s="5">
        <v>0.5</v>
      </c>
      <c r="Z41" s="5">
        <v>0.08</v>
      </c>
      <c r="AA41" s="5">
        <v>0.08</v>
      </c>
      <c r="AB41" s="5">
        <v>0</v>
      </c>
      <c r="AC41" s="5"/>
    </row>
    <row r="42" spans="1:29" ht="29.1">
      <c r="A42" s="4" t="s">
        <v>365</v>
      </c>
      <c r="B42" s="5">
        <v>23</v>
      </c>
      <c r="C42" s="4" t="s">
        <v>452</v>
      </c>
      <c r="D42" s="4" t="s">
        <v>455</v>
      </c>
      <c r="E42" s="4" t="s">
        <v>456</v>
      </c>
      <c r="F42" s="5">
        <v>0.28999999999999998</v>
      </c>
      <c r="G42" s="5">
        <v>100</v>
      </c>
      <c r="H42" s="5">
        <v>3.3</v>
      </c>
      <c r="I42" s="5">
        <v>11</v>
      </c>
      <c r="J42" s="5">
        <v>11</v>
      </c>
      <c r="K42" s="5">
        <v>18</v>
      </c>
      <c r="L42" s="5">
        <v>60</v>
      </c>
      <c r="M42" s="5">
        <v>21</v>
      </c>
      <c r="N42" s="5">
        <v>88</v>
      </c>
      <c r="O42" s="5">
        <v>10.5</v>
      </c>
      <c r="P42" s="5">
        <v>46</v>
      </c>
      <c r="Q42" s="5">
        <v>12</v>
      </c>
      <c r="R42" s="5">
        <v>72</v>
      </c>
      <c r="S42" s="5">
        <v>1</v>
      </c>
      <c r="T42" s="5">
        <v>1.1645979019999999</v>
      </c>
      <c r="U42" s="5">
        <v>0.1</v>
      </c>
      <c r="V42" s="5">
        <v>1</v>
      </c>
      <c r="W42" s="5">
        <v>27</v>
      </c>
      <c r="X42" s="5">
        <v>0.15</v>
      </c>
      <c r="Y42" s="5">
        <v>0.5</v>
      </c>
      <c r="Z42" s="5">
        <v>0.08</v>
      </c>
      <c r="AA42" s="5">
        <v>0.08</v>
      </c>
      <c r="AB42" s="5">
        <v>0</v>
      </c>
      <c r="AC42" s="5"/>
    </row>
    <row r="43" spans="1:29" ht="29.1">
      <c r="A43" s="4" t="s">
        <v>362</v>
      </c>
      <c r="B43" s="5">
        <v>24</v>
      </c>
      <c r="C43" s="4" t="s">
        <v>452</v>
      </c>
      <c r="D43" s="4" t="s">
        <v>438</v>
      </c>
      <c r="E43" s="4" t="s">
        <v>457</v>
      </c>
      <c r="F43" s="5">
        <v>0.39</v>
      </c>
      <c r="G43" s="5">
        <v>100</v>
      </c>
      <c r="H43" s="5">
        <v>3.3</v>
      </c>
      <c r="I43" s="5">
        <v>8</v>
      </c>
      <c r="J43" s="5">
        <v>8</v>
      </c>
      <c r="K43" s="5">
        <v>18</v>
      </c>
      <c r="L43" s="5">
        <v>42</v>
      </c>
      <c r="M43" s="5">
        <v>21</v>
      </c>
      <c r="N43" s="5">
        <v>57.17</v>
      </c>
      <c r="O43" s="5">
        <v>10.5</v>
      </c>
      <c r="P43" s="5">
        <v>31</v>
      </c>
      <c r="Q43" s="5">
        <v>12</v>
      </c>
      <c r="R43" s="5">
        <v>72</v>
      </c>
      <c r="S43" s="5">
        <v>1</v>
      </c>
      <c r="T43" s="5">
        <v>1.1645979019999999</v>
      </c>
      <c r="U43" s="5">
        <v>7.4999999999999997E-2</v>
      </c>
      <c r="V43" s="5">
        <v>1</v>
      </c>
      <c r="W43" s="5">
        <v>27</v>
      </c>
      <c r="X43" s="5">
        <v>0.15</v>
      </c>
      <c r="Y43" s="5">
        <v>0.5</v>
      </c>
      <c r="Z43" s="5">
        <v>0.08</v>
      </c>
      <c r="AA43" s="5">
        <v>0.08</v>
      </c>
      <c r="AB43" s="5">
        <v>0</v>
      </c>
      <c r="AC43" s="5"/>
    </row>
    <row r="44" spans="1:29" ht="29.1">
      <c r="A44" s="4" t="s">
        <v>253</v>
      </c>
      <c r="B44" s="5">
        <v>26</v>
      </c>
      <c r="C44" s="4" t="s">
        <v>458</v>
      </c>
      <c r="D44" s="4" t="s">
        <v>258</v>
      </c>
      <c r="E44" s="4" t="s">
        <v>448</v>
      </c>
      <c r="F44" s="5">
        <v>0.6</v>
      </c>
      <c r="G44" s="5">
        <v>0</v>
      </c>
      <c r="H44" s="5">
        <v>1.6</v>
      </c>
      <c r="I44" s="5">
        <v>2</v>
      </c>
      <c r="J44" s="5">
        <v>2</v>
      </c>
      <c r="K44" s="5">
        <v>7.6</v>
      </c>
      <c r="L44" s="5">
        <v>25.06</v>
      </c>
      <c r="M44" s="5">
        <v>9.6999999999999993</v>
      </c>
      <c r="N44" s="5">
        <v>36.020000000000003</v>
      </c>
      <c r="O44" s="5">
        <v>4.0999999999999996</v>
      </c>
      <c r="P44" s="5">
        <v>21.93</v>
      </c>
      <c r="Q44" s="5">
        <v>8</v>
      </c>
      <c r="R44" s="5">
        <v>48</v>
      </c>
      <c r="S44" s="5">
        <v>19</v>
      </c>
      <c r="T44" s="5">
        <v>5.3013095239999997</v>
      </c>
      <c r="U44" s="5">
        <v>0.05</v>
      </c>
      <c r="V44" s="5">
        <v>1</v>
      </c>
      <c r="W44" s="5">
        <v>27</v>
      </c>
      <c r="X44" s="5">
        <v>0.15</v>
      </c>
      <c r="Y44" s="5">
        <v>0.4</v>
      </c>
      <c r="Z44" s="5">
        <v>0.04</v>
      </c>
      <c r="AA44" s="5">
        <v>0.05</v>
      </c>
      <c r="AB44" s="5">
        <v>0</v>
      </c>
      <c r="AC44" s="5"/>
    </row>
    <row r="45" spans="1:29" ht="29.1">
      <c r="A45" s="4" t="s">
        <v>255</v>
      </c>
      <c r="B45" s="5">
        <v>26</v>
      </c>
      <c r="C45" s="4" t="s">
        <v>458</v>
      </c>
      <c r="D45" s="4" t="s">
        <v>258</v>
      </c>
      <c r="E45" s="4" t="s">
        <v>448</v>
      </c>
      <c r="F45" s="5">
        <v>0.6</v>
      </c>
      <c r="G45" s="5">
        <v>0</v>
      </c>
      <c r="H45" s="5">
        <v>1.6</v>
      </c>
      <c r="I45" s="5">
        <v>2</v>
      </c>
      <c r="J45" s="5">
        <v>2</v>
      </c>
      <c r="K45" s="5">
        <v>7.6</v>
      </c>
      <c r="L45" s="5">
        <v>25.06</v>
      </c>
      <c r="M45" s="5">
        <v>9.6999999999999993</v>
      </c>
      <c r="N45" s="5">
        <v>36.020000000000003</v>
      </c>
      <c r="O45" s="5">
        <v>4.0999999999999996</v>
      </c>
      <c r="P45" s="5">
        <v>21.93</v>
      </c>
      <c r="Q45" s="5">
        <v>8</v>
      </c>
      <c r="R45" s="5">
        <v>48</v>
      </c>
      <c r="S45" s="5">
        <v>19</v>
      </c>
      <c r="T45" s="5">
        <v>5.3013095239999997</v>
      </c>
      <c r="U45" s="5">
        <v>0.05</v>
      </c>
      <c r="V45" s="5">
        <v>1</v>
      </c>
      <c r="W45" s="5">
        <v>27</v>
      </c>
      <c r="X45" s="5">
        <v>0.15</v>
      </c>
      <c r="Y45" s="5">
        <v>0.4</v>
      </c>
      <c r="Z45" s="5">
        <v>0.04</v>
      </c>
      <c r="AA45" s="5">
        <v>0.05</v>
      </c>
      <c r="AB45" s="5">
        <v>0</v>
      </c>
      <c r="AC45" s="5"/>
    </row>
    <row r="46" spans="1:29" ht="29.1">
      <c r="A46" s="4" t="s">
        <v>346</v>
      </c>
      <c r="B46" s="5">
        <v>27</v>
      </c>
      <c r="C46" s="4" t="s">
        <v>458</v>
      </c>
      <c r="D46" s="4" t="s">
        <v>351</v>
      </c>
      <c r="E46" s="4" t="s">
        <v>451</v>
      </c>
      <c r="F46" s="5">
        <v>0.42</v>
      </c>
      <c r="G46" s="5">
        <v>0</v>
      </c>
      <c r="H46" s="5">
        <v>1.6</v>
      </c>
      <c r="I46" s="5">
        <v>1</v>
      </c>
      <c r="J46" s="5">
        <v>1</v>
      </c>
      <c r="K46" s="5">
        <v>0.21</v>
      </c>
      <c r="L46" s="5">
        <v>20.36</v>
      </c>
      <c r="M46" s="5">
        <v>0.25</v>
      </c>
      <c r="N46" s="5">
        <v>24.28</v>
      </c>
      <c r="O46" s="5">
        <v>0.2</v>
      </c>
      <c r="P46" s="5">
        <v>17.23</v>
      </c>
      <c r="Q46" s="5">
        <v>2</v>
      </c>
      <c r="R46" s="5">
        <v>3</v>
      </c>
      <c r="S46" s="5">
        <v>1</v>
      </c>
      <c r="T46" s="5">
        <v>0.96666666700000003</v>
      </c>
      <c r="U46" s="5">
        <v>0.05</v>
      </c>
      <c r="V46" s="5">
        <v>1</v>
      </c>
      <c r="W46" s="5">
        <v>13</v>
      </c>
      <c r="X46" s="5">
        <v>0.15</v>
      </c>
      <c r="Y46" s="5">
        <v>0.4</v>
      </c>
      <c r="Z46" s="5">
        <v>0.12</v>
      </c>
      <c r="AA46" s="5">
        <v>0.12</v>
      </c>
      <c r="AB46" s="5">
        <v>0</v>
      </c>
      <c r="AC46" s="5"/>
    </row>
    <row r="47" spans="1:29" ht="29.1">
      <c r="A47" s="4" t="s">
        <v>348</v>
      </c>
      <c r="B47" s="5">
        <v>27</v>
      </c>
      <c r="C47" s="4" t="s">
        <v>458</v>
      </c>
      <c r="D47" s="4" t="s">
        <v>351</v>
      </c>
      <c r="E47" s="4" t="s">
        <v>451</v>
      </c>
      <c r="F47" s="5">
        <v>0.42</v>
      </c>
      <c r="G47" s="5">
        <v>0</v>
      </c>
      <c r="H47" s="5">
        <v>1.6</v>
      </c>
      <c r="I47" s="5">
        <v>1</v>
      </c>
      <c r="J47" s="5">
        <v>1</v>
      </c>
      <c r="K47" s="5">
        <v>0.21</v>
      </c>
      <c r="L47" s="5">
        <v>20.36</v>
      </c>
      <c r="M47" s="5">
        <v>0.25</v>
      </c>
      <c r="N47" s="5">
        <v>24.28</v>
      </c>
      <c r="O47" s="5">
        <v>0.2</v>
      </c>
      <c r="P47" s="5">
        <v>17.23</v>
      </c>
      <c r="Q47" s="5">
        <v>2</v>
      </c>
      <c r="R47" s="5">
        <v>3</v>
      </c>
      <c r="S47" s="5">
        <v>1</v>
      </c>
      <c r="T47" s="5">
        <v>0.96666666700000003</v>
      </c>
      <c r="U47" s="5">
        <v>0.05</v>
      </c>
      <c r="V47" s="5">
        <v>1</v>
      </c>
      <c r="W47" s="5">
        <v>13</v>
      </c>
      <c r="X47" s="5">
        <v>0.15</v>
      </c>
      <c r="Y47" s="5">
        <v>0.4</v>
      </c>
      <c r="Z47" s="5">
        <v>0.12</v>
      </c>
      <c r="AA47" s="5">
        <v>0.12</v>
      </c>
      <c r="AB47" s="5">
        <v>0</v>
      </c>
      <c r="AC47" s="5"/>
    </row>
    <row r="48" spans="1:29">
      <c r="A48" s="4"/>
      <c r="B48" s="4"/>
      <c r="C48" s="5"/>
      <c r="D48" s="4"/>
      <c r="E48" s="4"/>
      <c r="F48" s="4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>
      <c r="A49" s="4"/>
      <c r="B49" s="4"/>
      <c r="C49" s="5"/>
      <c r="D49" s="4"/>
      <c r="E49" s="4"/>
      <c r="F49" s="4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>
      <c r="A50" s="4"/>
      <c r="B50" s="4"/>
      <c r="C50" s="5"/>
      <c r="D50" s="4"/>
      <c r="E50" s="4"/>
      <c r="F50" s="4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>
      <c r="A51" s="4"/>
      <c r="B51" s="4"/>
      <c r="C51" s="5"/>
      <c r="D51" s="4"/>
      <c r="E51" s="4"/>
      <c r="F51" s="4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>
      <c r="A52" s="4"/>
      <c r="B52" s="4"/>
      <c r="C52" s="5"/>
      <c r="D52" s="4"/>
      <c r="E52" s="4"/>
      <c r="F52" s="4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>
      <c r="A53" s="4"/>
      <c r="B53" s="4"/>
      <c r="C53" s="5"/>
      <c r="D53" s="4"/>
      <c r="E53" s="4"/>
      <c r="F53" s="4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>
      <c r="A54" s="4"/>
      <c r="B54" s="4"/>
      <c r="C54" s="5"/>
      <c r="D54" s="4"/>
      <c r="E54" s="4"/>
      <c r="F54" s="4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>
      <c r="A55" s="4"/>
      <c r="B55" s="4"/>
      <c r="C55" s="5"/>
      <c r="D55" s="4"/>
      <c r="E55" s="4"/>
      <c r="F55" s="4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>
      <c r="A56" s="4"/>
      <c r="B56" s="4"/>
      <c r="C56" s="5"/>
      <c r="D56" s="4"/>
      <c r="E56" s="4"/>
      <c r="F56" s="4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>
      <c r="A57" s="4"/>
      <c r="B57" s="4"/>
      <c r="C57" s="5"/>
      <c r="D57" s="4"/>
      <c r="E57" s="4"/>
      <c r="F57" s="4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>
      <c r="A58" s="4"/>
      <c r="B58" s="4"/>
      <c r="C58" s="5"/>
      <c r="D58" s="4"/>
      <c r="E58" s="4"/>
      <c r="F58" s="4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>
      <c r="A59" s="4"/>
      <c r="B59" s="4"/>
      <c r="C59" s="5"/>
      <c r="D59" s="4"/>
      <c r="E59" s="4"/>
      <c r="F59" s="4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>
      <c r="A60" s="4"/>
      <c r="B60" s="4"/>
      <c r="C60" s="5"/>
      <c r="D60" s="4"/>
      <c r="E60" s="4"/>
      <c r="F60" s="4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>
      <c r="A61" s="4"/>
      <c r="B61" s="4"/>
      <c r="C61" s="5"/>
      <c r="D61" s="4"/>
      <c r="E61" s="4"/>
      <c r="F61" s="4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>
      <c r="A62" s="4"/>
      <c r="B62" s="4"/>
      <c r="C62" s="5"/>
      <c r="D62" s="4"/>
      <c r="E62" s="4"/>
      <c r="F62" s="4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>
      <c r="A63" s="4"/>
      <c r="B63" s="4"/>
      <c r="C63" s="5"/>
      <c r="D63" s="4"/>
      <c r="E63" s="4"/>
      <c r="F63" s="4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>
      <c r="A64" s="4"/>
      <c r="B64" s="4"/>
      <c r="C64" s="5"/>
      <c r="D64" s="4"/>
      <c r="E64" s="4"/>
      <c r="F64" s="4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>
      <c r="A65" s="4"/>
      <c r="B65" s="4"/>
      <c r="C65" s="5"/>
      <c r="D65" s="4"/>
      <c r="E65" s="4"/>
      <c r="F65" s="4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>
      <c r="A66" s="4"/>
      <c r="B66" s="4"/>
      <c r="C66" s="5"/>
      <c r="D66" s="4"/>
      <c r="E66" s="4"/>
      <c r="F66" s="4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>
      <c r="A67" s="4"/>
      <c r="B67" s="4"/>
      <c r="C67" s="5"/>
      <c r="D67" s="4"/>
      <c r="E67" s="4"/>
      <c r="F67" s="4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5"/>
    <row r="69" spans="1:29" ht="15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5"/>
  <sheetViews>
    <sheetView zoomScaleNormal="100" workbookViewId="0">
      <selection activeCell="G14" sqref="G14"/>
    </sheetView>
  </sheetViews>
  <sheetFormatPr defaultColWidth="9.140625" defaultRowHeight="14.45"/>
  <sheetData>
    <row r="1" spans="1:4">
      <c r="A1" s="6" t="s">
        <v>459</v>
      </c>
      <c r="B1" s="6" t="s">
        <v>460</v>
      </c>
      <c r="C1" s="6" t="s">
        <v>461</v>
      </c>
      <c r="D1" s="6" t="s">
        <v>462</v>
      </c>
    </row>
    <row r="2" spans="1:4">
      <c r="A2" s="7">
        <v>1</v>
      </c>
      <c r="B2" s="7" t="s">
        <v>463</v>
      </c>
      <c r="C2" s="7">
        <v>1</v>
      </c>
      <c r="D2" s="7" t="s">
        <v>464</v>
      </c>
    </row>
    <row r="3" spans="1:4">
      <c r="A3" s="7">
        <v>2</v>
      </c>
      <c r="B3" s="7" t="s">
        <v>463</v>
      </c>
      <c r="C3" s="7">
        <v>2</v>
      </c>
      <c r="D3" s="7" t="s">
        <v>464</v>
      </c>
    </row>
    <row r="4" spans="1:4">
      <c r="A4" s="7">
        <v>3</v>
      </c>
      <c r="B4" s="7" t="s">
        <v>463</v>
      </c>
      <c r="C4" s="7">
        <v>3</v>
      </c>
      <c r="D4" s="7" t="s">
        <v>464</v>
      </c>
    </row>
    <row r="5" spans="1:4">
      <c r="A5" s="7">
        <v>4</v>
      </c>
      <c r="B5" s="7" t="s">
        <v>463</v>
      </c>
      <c r="C5" s="7">
        <v>4</v>
      </c>
      <c r="D5" s="7" t="s">
        <v>465</v>
      </c>
    </row>
    <row r="6" spans="1:4">
      <c r="A6" s="7">
        <v>5</v>
      </c>
      <c r="B6" s="7" t="s">
        <v>463</v>
      </c>
      <c r="C6" s="7">
        <v>5</v>
      </c>
      <c r="D6" s="7" t="s">
        <v>465</v>
      </c>
    </row>
    <row r="7" spans="1:4">
      <c r="A7" s="7">
        <v>6</v>
      </c>
      <c r="B7" s="7" t="s">
        <v>463</v>
      </c>
      <c r="C7" s="7">
        <v>6</v>
      </c>
      <c r="D7" s="7" t="s">
        <v>465</v>
      </c>
    </row>
    <row r="8" spans="1:4">
      <c r="A8" s="7">
        <v>7</v>
      </c>
      <c r="B8" s="7" t="s">
        <v>463</v>
      </c>
      <c r="C8" s="7">
        <v>7</v>
      </c>
      <c r="D8" s="7" t="s">
        <v>465</v>
      </c>
    </row>
    <row r="9" spans="1:4">
      <c r="A9" s="7">
        <v>8</v>
      </c>
      <c r="B9" s="7" t="s">
        <v>463</v>
      </c>
      <c r="C9" s="7">
        <v>8</v>
      </c>
      <c r="D9" s="7" t="s">
        <v>465</v>
      </c>
    </row>
    <row r="10" spans="1:4">
      <c r="A10" s="7">
        <v>9</v>
      </c>
      <c r="B10" s="7" t="s">
        <v>466</v>
      </c>
      <c r="C10" s="7">
        <v>9</v>
      </c>
      <c r="D10" s="7" t="s">
        <v>465</v>
      </c>
    </row>
    <row r="11" spans="1:4">
      <c r="A11" s="7">
        <v>10</v>
      </c>
      <c r="B11" s="7" t="s">
        <v>466</v>
      </c>
      <c r="C11" s="7">
        <v>10</v>
      </c>
      <c r="D11" s="7" t="s">
        <v>464</v>
      </c>
    </row>
    <row r="12" spans="1:4">
      <c r="A12" s="7">
        <v>11</v>
      </c>
      <c r="B12" s="7" t="s">
        <v>466</v>
      </c>
      <c r="C12" s="7">
        <v>11</v>
      </c>
      <c r="D12" s="7" t="s">
        <v>464</v>
      </c>
    </row>
    <row r="13" spans="1:4">
      <c r="A13" s="7">
        <v>12</v>
      </c>
      <c r="B13" s="7" t="s">
        <v>466</v>
      </c>
      <c r="C13" s="7">
        <v>12</v>
      </c>
      <c r="D13" s="7" t="s">
        <v>464</v>
      </c>
    </row>
    <row r="14" spans="1:4">
      <c r="A14" s="7">
        <v>13</v>
      </c>
      <c r="B14" s="7" t="s">
        <v>466</v>
      </c>
      <c r="C14" s="7"/>
      <c r="D14" s="7"/>
    </row>
    <row r="15" spans="1:4">
      <c r="A15" s="7">
        <v>14</v>
      </c>
      <c r="B15" s="7" t="s">
        <v>466</v>
      </c>
      <c r="C15" s="7"/>
      <c r="D15" s="7"/>
    </row>
    <row r="16" spans="1:4">
      <c r="A16" s="7">
        <v>15</v>
      </c>
      <c r="B16" s="7" t="s">
        <v>466</v>
      </c>
      <c r="C16" s="7"/>
      <c r="D16" s="7"/>
    </row>
    <row r="17" spans="1:4">
      <c r="A17" s="7">
        <v>16</v>
      </c>
      <c r="B17" s="7" t="s">
        <v>466</v>
      </c>
      <c r="C17" s="7"/>
      <c r="D17" s="7"/>
    </row>
    <row r="18" spans="1:4">
      <c r="A18" s="7">
        <v>17</v>
      </c>
      <c r="B18" s="7" t="s">
        <v>466</v>
      </c>
      <c r="C18" s="7"/>
      <c r="D18" s="7"/>
    </row>
    <row r="19" spans="1:4">
      <c r="A19" s="7">
        <v>18</v>
      </c>
      <c r="B19" s="7" t="s">
        <v>466</v>
      </c>
      <c r="C19" s="7"/>
      <c r="D19" s="7"/>
    </row>
    <row r="20" spans="1:4">
      <c r="A20" s="7">
        <v>19</v>
      </c>
      <c r="B20" s="7" t="s">
        <v>466</v>
      </c>
      <c r="C20" s="7"/>
      <c r="D20" s="7"/>
    </row>
    <row r="21" spans="1:4">
      <c r="A21" s="7">
        <v>20</v>
      </c>
      <c r="B21" s="7" t="s">
        <v>466</v>
      </c>
      <c r="C21" s="7"/>
      <c r="D21" s="7"/>
    </row>
    <row r="22" spans="1:4">
      <c r="A22" s="7">
        <v>21</v>
      </c>
      <c r="B22" s="7" t="s">
        <v>463</v>
      </c>
      <c r="C22" s="7"/>
      <c r="D22" s="7"/>
    </row>
    <row r="23" spans="1:4">
      <c r="A23" s="7">
        <v>22</v>
      </c>
      <c r="B23" s="7" t="s">
        <v>463</v>
      </c>
      <c r="C23" s="7"/>
      <c r="D23" s="7"/>
    </row>
    <row r="24" spans="1:4">
      <c r="A24" s="7">
        <v>23</v>
      </c>
      <c r="B24" s="7" t="s">
        <v>463</v>
      </c>
      <c r="C24" s="7"/>
      <c r="D24" s="7"/>
    </row>
    <row r="25" spans="1:4">
      <c r="A25" s="7">
        <v>24</v>
      </c>
      <c r="B25" s="7" t="s">
        <v>463</v>
      </c>
      <c r="C25" s="7"/>
      <c r="D25" s="7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1f2699-f9a2-42e6-9366-8388bf7488a1">
      <Terms xmlns="http://schemas.microsoft.com/office/infopath/2007/PartnerControls"/>
    </lcf76f155ced4ddcb4097134ff3c332f>
    <TaxCatchAll xmlns="88c83b6a-ed77-40a5-85b5-6eb00660dec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6F782E2598FB042AC0B15DEDC2894CC" ma:contentTypeVersion="15" ma:contentTypeDescription="Create a new document." ma:contentTypeScope="" ma:versionID="ebdb5e6a0f13eb2728a40f73fe8227ea">
  <xsd:schema xmlns:xsd="http://www.w3.org/2001/XMLSchema" xmlns:xs="http://www.w3.org/2001/XMLSchema" xmlns:p="http://schemas.microsoft.com/office/2006/metadata/properties" xmlns:ns2="711f2699-f9a2-42e6-9366-8388bf7488a1" xmlns:ns3="88c83b6a-ed77-40a5-85b5-6eb00660dec9" targetNamespace="http://schemas.microsoft.com/office/2006/metadata/properties" ma:root="true" ma:fieldsID="7a150b1adff4ddbefced54de1a4b7562" ns2:_="" ns3:_="">
    <xsd:import namespace="711f2699-f9a2-42e6-9366-8388bf7488a1"/>
    <xsd:import namespace="88c83b6a-ed77-40a5-85b5-6eb00660de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1f2699-f9a2-42e6-9366-8388bf7488a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83b6a-ed77-40a5-85b5-6eb00660dec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3a95b5c3-6b29-4c5d-b29c-5a16f218494a}" ma:internalName="TaxCatchAll" ma:showField="CatchAllData" ma:web="88c83b6a-ed77-40a5-85b5-6eb00660de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5B5EE72-332B-417B-A1B1-BFA06D3A160D}"/>
</file>

<file path=customXml/itemProps2.xml><?xml version="1.0" encoding="utf-8"?>
<ds:datastoreItem xmlns:ds="http://schemas.openxmlformats.org/officeDocument/2006/customXml" ds:itemID="{D6841B08-5779-4D45-8C20-588771B24E9D}"/>
</file>

<file path=customXml/itemProps3.xml><?xml version="1.0" encoding="utf-8"?>
<ds:datastoreItem xmlns:ds="http://schemas.openxmlformats.org/officeDocument/2006/customXml" ds:itemID="{9420324F-1D25-418B-97F8-64EF9F0E27D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RTE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Geraldine</dc:creator>
  <cp:keywords/>
  <dc:description/>
  <cp:lastModifiedBy/>
  <cp:revision>23</cp:revision>
  <dcterms:created xsi:type="dcterms:W3CDTF">2022-07-08T13:13:06Z</dcterms:created>
  <dcterms:modified xsi:type="dcterms:W3CDTF">2026-03-03T14:00:54Z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ContentTypeId">
    <vt:lpwstr>0x010100F6F782E2598FB042AC0B15DEDC2894CC</vt:lpwstr>
  </property>
  <property fmtid="{D5CDD505-2E9C-101B-9397-08002B2CF9AE}" pid="4" name="MediaServiceImageTags">
    <vt:lpwstr/>
  </property>
</Properties>
</file>